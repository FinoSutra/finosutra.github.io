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come Schedule" sheetId="2" state="visible" r:id="rId4"/>
    <sheet name="Deductions" sheetId="3" state="visible" r:id="rId5"/>
    <sheet name="Tax Computation" sheetId="4" state="visible" r:id="rId6"/>
    <sheet name="Slab Schedu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<sst xmlns="http://schemas.openxmlformats.org/spreadsheetml/2006/main" count="191" uniqueCount="174">
  <si>
    <t xml:space="preserve">FINOSUTRA</t>
  </si>
  <si>
    <t xml:space="preserve">Finance on Autopilot  ·  finosutra.github.io</t>
  </si>
  <si>
    <t xml:space="preserve">Income Tax Computation Report</t>
  </si>
  <si>
    <t xml:space="preserve">Financial Year 2025-26  |  Assessment Year 2026-27</t>
  </si>
  <si>
    <t xml:space="preserve">  TAXPAYER DETAILS</t>
  </si>
  <si>
    <t xml:space="preserve">  Taxpayer Name</t>
  </si>
  <si>
    <t xml:space="preserve">Rajesh Kumar Sharma</t>
  </si>
  <si>
    <t xml:space="preserve">  PAN</t>
  </si>
  <si>
    <t xml:space="preserve">ABCRS1234K</t>
  </si>
  <si>
    <t xml:space="preserve">  Date of Birth</t>
  </si>
  <si>
    <t xml:space="preserve">15-Jun-1985</t>
  </si>
  <si>
    <t xml:space="preserve">  Age (as on 31-Mar-26)</t>
  </si>
  <si>
    <t xml:space="preserve">  Residential Status</t>
  </si>
  <si>
    <t xml:space="preserve">Resident Individual</t>
  </si>
  <si>
    <t xml:space="preserve">  Taxpayer Category</t>
  </si>
  <si>
    <t xml:space="preserve">Individual (Below 60)</t>
  </si>
  <si>
    <t xml:space="preserve">  Assessment Year</t>
  </si>
  <si>
    <t xml:space="preserve">2026-27</t>
  </si>
  <si>
    <t xml:space="preserve">  Report Date</t>
  </si>
  <si>
    <t xml:space="preserve">30-May-2026</t>
  </si>
  <si>
    <t xml:space="preserve">  TAX SUMMARY</t>
  </si>
  <si>
    <t xml:space="preserve">  Gross Total Income</t>
  </si>
  <si>
    <t xml:space="preserve">  Total Deductions (Old)</t>
  </si>
  <si>
    <t xml:space="preserve">  Recommended Regime</t>
  </si>
  <si>
    <t xml:space="preserve">New Tax Regime</t>
  </si>
  <si>
    <t xml:space="preserve">  Tax — New Regime</t>
  </si>
  <si>
    <t xml:space="preserve">  Tax — Old Regime</t>
  </si>
  <si>
    <t xml:space="preserve">  Tax Saving (New vs Old)</t>
  </si>
  <si>
    <t xml:space="preserve">  Net Tax Payable / Refund</t>
  </si>
  <si>
    <t xml:space="preserve">⚠  This report is for estimation purposes only. Consult a qualified CA/Tax Advisor for official filing. Generated by Finosutra (finosutra.github.io)</t>
  </si>
  <si>
    <t xml:space="preserve">  COLOR LEGEND</t>
  </si>
  <si>
    <t xml:space="preserve">  ● Blue text</t>
  </si>
  <si>
    <t xml:space="preserve">Hardcoded inputs — values you entered in the calculator</t>
  </si>
  <si>
    <t xml:space="preserve">  ● Black text</t>
  </si>
  <si>
    <t xml:space="preserve">Formula-driven calculations — update automatically</t>
  </si>
  <si>
    <t xml:space="preserve">  ● Green text</t>
  </si>
  <si>
    <t xml:space="preserve">Links from other sheets — live cross-references</t>
  </si>
  <si>
    <t xml:space="preserve">INCOME SCHEDULE  |  FY 2025-26  |  AY 2026-27</t>
  </si>
  <si>
    <t xml:space="preserve">HEAD OF INCOME</t>
  </si>
  <si>
    <t xml:space="preserve">NOTES</t>
  </si>
  <si>
    <t xml:space="preserve">NEW REGIME (₹)</t>
  </si>
  <si>
    <t xml:space="preserve">OLD REGIME (₹)</t>
  </si>
  <si>
    <t xml:space="preserve">  A.  INCOME FROM SALARY</t>
  </si>
  <si>
    <t xml:space="preserve">Gross Salary (CTC basis)</t>
  </si>
  <si>
    <t xml:space="preserve">15,00,000</t>
  </si>
  <si>
    <t xml:space="preserve">Less: HRA Exemption [Sec 10(13A)]</t>
  </si>
  <si>
    <t xml:space="preserve">See Note 1</t>
  </si>
  <si>
    <t xml:space="preserve">Less: Standard Deduction [Sec 16(ia)]</t>
  </si>
  <si>
    <t xml:space="preserve">₹75,000 / ₹50,000</t>
  </si>
  <si>
    <t xml:space="preserve">Less: Professional Tax [Sec 16(iii)]</t>
  </si>
  <si>
    <t xml:space="preserve">Actual</t>
  </si>
  <si>
    <t xml:space="preserve">Net Taxable Salary</t>
  </si>
  <si>
    <t xml:space="preserve">  B.  INCOME FROM HOUSE PROPERTY</t>
  </si>
  <si>
    <t xml:space="preserve">  Annual Rent Received (LOP)</t>
  </si>
  <si>
    <t xml:space="preserve">  Less: Municipal Tax Paid</t>
  </si>
  <si>
    <t xml:space="preserve">  Net Annual Value (NAV)</t>
  </si>
  <si>
    <t xml:space="preserve">Rent minus Municipal Tax</t>
  </si>
  <si>
    <t xml:space="preserve">  Less: Standard Deduction (30%)</t>
  </si>
  <si>
    <t xml:space="preserve">NAV x 30%</t>
  </si>
  <si>
    <t xml:space="preserve">  Less: Interest on Loan (LOP)</t>
  </si>
  <si>
    <t xml:space="preserve">  Less: Interest on Loan (SOP)</t>
  </si>
  <si>
    <t xml:space="preserve">Max ₹2L</t>
  </si>
  <si>
    <t xml:space="preserve">  Income from House Property</t>
  </si>
  <si>
    <t xml:space="preserve">  C.  CAPITAL GAINS</t>
  </si>
  <si>
    <t xml:space="preserve">  Equity LTCG (above ₹1,25,000 exempt)</t>
  </si>
  <si>
    <t xml:space="preserve">12.5% flat</t>
  </si>
  <si>
    <t xml:space="preserve">  Equity STCG</t>
  </si>
  <si>
    <t xml:space="preserve">20% flat</t>
  </si>
  <si>
    <t xml:space="preserve">  Property LTCG</t>
  </si>
  <si>
    <t xml:space="preserve">12.5% / 20%</t>
  </si>
  <si>
    <t xml:space="preserve">  Other Short-Term Gains (slab rate)</t>
  </si>
  <si>
    <t xml:space="preserve">Normal slab</t>
  </si>
  <si>
    <t xml:space="preserve">  Total Capital Gains</t>
  </si>
  <si>
    <t xml:space="preserve">  D.  INCOME FROM OTHER SOURCES</t>
  </si>
  <si>
    <t xml:space="preserve">  Savings Account Interest</t>
  </si>
  <si>
    <t xml:space="preserve">80TTA: max ₹10K</t>
  </si>
  <si>
    <t xml:space="preserve">  FD Interest</t>
  </si>
  <si>
    <t xml:space="preserve">Taxable in full</t>
  </si>
  <si>
    <t xml:space="preserve">  Dividend Income</t>
  </si>
  <si>
    <t xml:space="preserve">Taxable</t>
  </si>
  <si>
    <t xml:space="preserve">  Any Other Income</t>
  </si>
  <si>
    <t xml:space="preserve">  Total Other Sources</t>
  </si>
  <si>
    <t xml:space="preserve">  GROSS TOTAL INCOME</t>
  </si>
  <si>
    <t xml:space="preserve">DEDUCTIONS SCHEDULE  |  Chapter VI-A  |  Old Regime Only</t>
  </si>
  <si>
    <t xml:space="preserve">SECTION / DEDUCTION</t>
  </si>
  <si>
    <t xml:space="preserve">LIMIT / NOTES</t>
  </si>
  <si>
    <t xml:space="preserve">ENTERED (₹)</t>
  </si>
  <si>
    <t xml:space="preserve">ALLOWED (₹)</t>
  </si>
  <si>
    <t xml:space="preserve">  80C — EPF / PPF / ELSS / LIC / Tax-saver FD</t>
  </si>
  <si>
    <t xml:space="preserve">  EPF</t>
  </si>
  <si>
    <t xml:space="preserve">  PPF</t>
  </si>
  <si>
    <t xml:space="preserve">  ELSS Mutual Fund</t>
  </si>
  <si>
    <t xml:space="preserve">  Life Insurance</t>
  </si>
  <si>
    <t xml:space="preserve">    Sub-total 80C</t>
  </si>
  <si>
    <t xml:space="preserve">Max ₹1,50,000</t>
  </si>
  <si>
    <t xml:space="preserve">  80CCD — NPS</t>
  </si>
  <si>
    <t xml:space="preserve">  80CCD(1B) — Additional NPS</t>
  </si>
  <si>
    <t xml:space="preserve">Max ₹50,000</t>
  </si>
  <si>
    <t xml:space="preserve">  80CCD(2) — Employer NPS</t>
  </si>
  <si>
    <t xml:space="preserve">Max 10% of Basic</t>
  </si>
  <si>
    <t xml:space="preserve">    Sub-total 80CCD</t>
  </si>
  <si>
    <t xml:space="preserve">1B: max ₹50,000</t>
  </si>
  <si>
    <t xml:space="preserve">  80D — Medical Insurance</t>
  </si>
  <si>
    <t xml:space="preserve">  Self / Spouse / Children</t>
  </si>
  <si>
    <t xml:space="preserve">Max ₹25,000</t>
  </si>
  <si>
    <t xml:space="preserve">  Parents</t>
  </si>
  <si>
    <t xml:space="preserve">    Sub-total 80D</t>
  </si>
  <si>
    <t xml:space="preserve">₹25K+₹25K</t>
  </si>
  <si>
    <t xml:space="preserve">  Other Deductions</t>
  </si>
  <si>
    <t xml:space="preserve">  80E — Education Loan Interest</t>
  </si>
  <si>
    <t xml:space="preserve">No limit</t>
  </si>
  <si>
    <t xml:space="preserve">  80TTA — Savings Interest</t>
  </si>
  <si>
    <t xml:space="preserve">Max ₹10,000</t>
  </si>
  <si>
    <t xml:space="preserve">  80G — Donations</t>
  </si>
  <si>
    <t xml:space="preserve">50% of qualifying</t>
  </si>
  <si>
    <t xml:space="preserve">    Sub-total Others</t>
  </si>
  <si>
    <t xml:space="preserve">  TOTAL DEDUCTIONS (Old Regime)</t>
  </si>
  <si>
    <t xml:space="preserve">Sum of all sections</t>
  </si>
  <si>
    <t xml:space="preserve">Note: Deductions in the New Regime are restricted to 80CCD(2) (Employer NPS) and Standard Deduction only.</t>
  </si>
  <si>
    <t xml:space="preserve">TAX COMPUTATION  |  New Regime vs Old Regime  |  FY 2025-26</t>
  </si>
  <si>
    <t xml:space="preserve">PARTICULARS</t>
  </si>
  <si>
    <t xml:space="preserve">NEW REGIME</t>
  </si>
  <si>
    <t xml:space="preserve">OLD REGIME</t>
  </si>
  <si>
    <t xml:space="preserve">DIFFERENCE (OLD − NEW)</t>
  </si>
  <si>
    <t xml:space="preserve">  INCOME</t>
  </si>
  <si>
    <t xml:space="preserve">From Income Schedule</t>
  </si>
  <si>
    <t xml:space="preserve">  Less: Total Deductions</t>
  </si>
  <si>
    <t xml:space="preserve">Ch VI-A (Old only)</t>
  </si>
  <si>
    <t xml:space="preserve">  Taxable Income</t>
  </si>
  <si>
    <t xml:space="preserve">  SLAB TAX</t>
  </si>
  <si>
    <t xml:space="preserve">  Tax on Normal Slab Income</t>
  </si>
  <si>
    <t xml:space="preserve">Per slab schedule</t>
  </si>
  <si>
    <t xml:space="preserve">  Tax on Capital Gains (12.5% LTCG)</t>
  </si>
  <si>
    <t xml:space="preserve">LTCG &gt;₹1.25L</t>
  </si>
  <si>
    <t xml:space="preserve">  Total Tax Before Rebate</t>
  </si>
  <si>
    <t xml:space="preserve">  REBATE &amp; RELIEF</t>
  </si>
  <si>
    <t xml:space="preserve">  Less: Rebate u/s 87A</t>
  </si>
  <si>
    <t xml:space="preserve">New: 0 (income&gt;12L) / Old: ₹12,500 if ≤₹5L</t>
  </si>
  <si>
    <t xml:space="preserve">  Tax After Rebate</t>
  </si>
  <si>
    <t xml:space="preserve">  SURCHARGE &amp; CESS</t>
  </si>
  <si>
    <t xml:space="preserve">  Add: Surcharge</t>
  </si>
  <si>
    <t xml:space="preserve">Nil (income &lt; ₹50L)</t>
  </si>
  <si>
    <t xml:space="preserve">  Add: Health &amp; Education Cess @4%</t>
  </si>
  <si>
    <t xml:space="preserve">4% on tax+surcharge</t>
  </si>
  <si>
    <t xml:space="preserve">  TOTAL TAX LIABILITY</t>
  </si>
  <si>
    <t xml:space="preserve">Tax + Surcharge + Cess</t>
  </si>
  <si>
    <t xml:space="preserve">  SAVINGS &amp; TAX CREDITS</t>
  </si>
  <si>
    <t xml:space="preserve">  Tax Saving (New Regime vs Old)</t>
  </si>
  <si>
    <t xml:space="preserve">Positive = New regime is cheaper</t>
  </si>
  <si>
    <t xml:space="preserve">  Less: TDS Deducted (Salary + Other)</t>
  </si>
  <si>
    <t xml:space="preserve">From Form 26AS</t>
  </si>
  <si>
    <t xml:space="preserve">  Less: Advance Tax Paid</t>
  </si>
  <si>
    <t xml:space="preserve">  Net Tax Payable / (Refund)</t>
  </si>
  <si>
    <t xml:space="preserve">TAX SLAB SCHEDULE  |  FY 2025-26  |  AY 2026-27</t>
  </si>
  <si>
    <t xml:space="preserve">NEW TAX REGIME — Tax Slabs</t>
  </si>
  <si>
    <t xml:space="preserve">INCOME RANGE</t>
  </si>
  <si>
    <t xml:space="preserve">FROM (₹)</t>
  </si>
  <si>
    <t xml:space="preserve">TO (₹)</t>
  </si>
  <si>
    <t xml:space="preserve">RATE %</t>
  </si>
  <si>
    <t xml:space="preserve">Nil</t>
  </si>
  <si>
    <t xml:space="preserve">0%</t>
  </si>
  <si>
    <t xml:space="preserve">5%</t>
  </si>
  <si>
    <t xml:space="preserve">10%</t>
  </si>
  <si>
    <t xml:space="preserve">15%</t>
  </si>
  <si>
    <t xml:space="preserve">20%</t>
  </si>
  <si>
    <t xml:space="preserve">25%</t>
  </si>
  <si>
    <t xml:space="preserve">30%</t>
  </si>
  <si>
    <t xml:space="preserve">Above</t>
  </si>
  <si>
    <t xml:space="preserve">  ✓  Standard Deduction: ₹75,000 (New Regime) | ₹50,000 (Old Regime)</t>
  </si>
  <si>
    <t xml:space="preserve">  ✓  Rebate u/s 87A: Full tax rebate if taxable income ≤ ₹12,00,000 (New) | ₹5,00,000 (Old)</t>
  </si>
  <si>
    <t xml:space="preserve">  ✓  Equity LTCG taxed at 12.5% on gains above ₹1,25,000 (both regimes)</t>
  </si>
  <si>
    <t xml:space="preserve">  ✓  Equity STCG taxed at 20% flat (both regimes)</t>
  </si>
  <si>
    <t xml:space="preserve">  ✓  Surcharge: Applicable above ₹50L income. Cess: 4% on all tax.</t>
  </si>
  <si>
    <t xml:space="preserve">  ✓  Surcharge on LTCG capped at 15%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</si>
</sst>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;&quot;(₹&quot;#,##0\);\-"/>
    <numFmt numFmtId="166" formatCode="@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sz val="11"/>
      <color rgb="FFA5B4FC"/>
      <name val="Arial"/>
      <family val="0"/>
      <charset val="1"/>
    </font>
    <font>
      <b val="true"/>
      <sz val="18"/>
      <color rgb="FF1E1B4B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4B5563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i val="true"/>
      <sz val="8"/>
      <color rgb="FF9CA3A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4F46E5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9"/>
      <color rgb="FF05966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1B4B"/>
        <bgColor rgb="FF003366"/>
      </patternFill>
    </fill>
    <fill>
      <patternFill patternType="solid">
        <fgColor rgb="FF6366F1"/>
        <bgColor rgb="FF4F46E5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ECFDF5"/>
        <bgColor rgb="FFF8FAFC"/>
      </patternFill>
    </fill>
    <fill>
      <patternFill patternType="solid">
        <fgColor rgb="FFEEF2FF"/>
        <bgColor rgb="FFF8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/>
      <right/>
      <top style="thin">
        <color rgb="FFE2E8F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8FAFC"/>
      <rgbColor rgb="FFECF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2E8F0"/>
      <rgbColor rgb="FFFFFF99"/>
      <rgbColor rgb="FFA5B4FC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4B5563"/>
      <rgbColor rgb="FF993300"/>
      <rgbColor rgb="FF993366"/>
      <rgbColor rgb="FF4F46E5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7" min="5" style="1" width="14"/>
  </cols>
  <sheetData>
    <row r="1" customFormat="false" ht="9.75" hidden="false" customHeight="true" outlineLevel="0" collapsed="false"/>
    <row r="2" customFormat="false" ht="45" hidden="false" customHeight="true" outlineLevel="0" collapsed="false">
      <c r="A2" s="2" t="s">
        <v>0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</row>
    <row r="6" customFormat="false" ht="21.75" hidden="false" customHeight="true" outlineLevel="0" collapsed="false">
      <c r="A6" s="3" t="s">
        <v>1</v>
      </c>
      <c r="B6" s="3"/>
      <c r="C6" s="3"/>
      <c r="D6" s="3"/>
      <c r="E6" s="3"/>
      <c r="F6" s="3"/>
      <c r="G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</row>
    <row r="8" customFormat="false" ht="3.75" hidden="false" customHeight="true" outlineLevel="0" collapsed="false">
      <c r="A8" s="4"/>
      <c r="B8" s="4"/>
      <c r="C8" s="4"/>
      <c r="D8" s="4"/>
      <c r="E8" s="4"/>
      <c r="F8" s="4"/>
      <c r="G8" s="4"/>
    </row>
    <row r="10" customFormat="false" ht="31.5" hidden="false" customHeight="true" outlineLevel="0" collapsed="false">
      <c r="A10" s="5" t="s">
        <v>2</v>
      </c>
      <c r="B10" s="5"/>
      <c r="C10" s="5"/>
      <c r="D10" s="5"/>
      <c r="E10" s="5"/>
      <c r="F10" s="5"/>
      <c r="G10" s="5"/>
    </row>
    <row r="11" customFormat="false" ht="15" hidden="false" customHeight="true" outlineLevel="0" collapsed="false">
      <c r="A11" s="5"/>
      <c r="B11" s="5"/>
      <c r="C11" s="5"/>
      <c r="D11" s="5"/>
      <c r="E11" s="5"/>
      <c r="F11" s="5"/>
      <c r="G11" s="5"/>
    </row>
    <row r="12" customFormat="false" ht="19.5" hidden="false" customHeight="true" outlineLevel="0" collapsed="false">
      <c r="A12" s="6" t="s">
        <v>3</v>
      </c>
      <c r="B12" s="6"/>
      <c r="C12" s="6"/>
      <c r="D12" s="6"/>
      <c r="E12" s="6"/>
      <c r="F12" s="6"/>
      <c r="G12" s="6"/>
    </row>
    <row r="13" customFormat="false" ht="19.5" hidden="false" customHeight="true" outlineLevel="0" collapsed="false">
      <c r="A13" s="7" t="s">
        <v>4</v>
      </c>
      <c r="B13" s="7"/>
      <c r="C13" s="7"/>
      <c r="D13" s="7"/>
      <c r="E13" s="7"/>
      <c r="F13" s="7"/>
      <c r="G13" s="7"/>
    </row>
    <row r="14" customFormat="false" ht="18" hidden="false" customHeight="true" outlineLevel="0" collapsed="false">
      <c r="A14" s="8" t="s">
        <v>5</v>
      </c>
      <c r="B14" s="8"/>
      <c r="C14" s="9" t="s">
        <v>6</v>
      </c>
      <c r="D14" s="9"/>
      <c r="E14" s="9"/>
      <c r="F14" s="9"/>
      <c r="G14" s="9"/>
    </row>
    <row r="15" customFormat="false" ht="18" hidden="false" customHeight="true" outlineLevel="0" collapsed="false">
      <c r="A15" s="8" t="s">
        <v>7</v>
      </c>
      <c r="B15" s="8"/>
      <c r="C15" s="9" t="s">
        <v>8</v>
      </c>
      <c r="D15" s="9"/>
      <c r="E15" s="9"/>
      <c r="F15" s="9"/>
      <c r="G15" s="9"/>
    </row>
    <row r="16" customFormat="false" ht="18" hidden="false" customHeight="true" outlineLevel="0" collapsed="false">
      <c r="A16" s="8" t="s">
        <v>9</v>
      </c>
      <c r="B16" s="8"/>
      <c r="C16" s="9" t="s">
        <v>10</v>
      </c>
      <c r="D16" s="9"/>
      <c r="E16" s="9"/>
      <c r="F16" s="9"/>
      <c r="G16" s="9"/>
    </row>
    <row r="17" customFormat="false" ht="18" hidden="false" customHeight="true" outlineLevel="0" collapsed="false">
      <c r="A17" s="8" t="s">
        <v>11</v>
      </c>
      <c r="B17" s="8"/>
      <c r="C17" s="9" t="n">
        <v>40</v>
      </c>
      <c r="D17" s="9"/>
      <c r="E17" s="9"/>
      <c r="F17" s="9"/>
      <c r="G17" s="9"/>
    </row>
    <row r="18" customFormat="false" ht="18" hidden="false" customHeight="true" outlineLevel="0" collapsed="false">
      <c r="A18" s="8" t="s">
        <v>12</v>
      </c>
      <c r="B18" s="8"/>
      <c r="C18" s="9" t="s">
        <v>13</v>
      </c>
      <c r="D18" s="9"/>
      <c r="E18" s="9"/>
      <c r="F18" s="9"/>
      <c r="G18" s="9"/>
    </row>
    <row r="19" customFormat="false" ht="18" hidden="false" customHeight="true" outlineLevel="0" collapsed="false">
      <c r="A19" s="8" t="s">
        <v>14</v>
      </c>
      <c r="B19" s="8"/>
      <c r="C19" s="9" t="s">
        <v>15</v>
      </c>
      <c r="D19" s="9"/>
      <c r="E19" s="9"/>
      <c r="F19" s="9"/>
      <c r="G19" s="9"/>
    </row>
    <row r="20" customFormat="false" ht="18" hidden="false" customHeight="true" outlineLevel="0" collapsed="false">
      <c r="A20" s="8" t="s">
        <v>16</v>
      </c>
      <c r="B20" s="8"/>
      <c r="C20" s="9" t="s">
        <v>17</v>
      </c>
      <c r="D20" s="9"/>
      <c r="E20" s="9"/>
      <c r="F20" s="9"/>
      <c r="G20" s="9"/>
    </row>
    <row r="21" customFormat="false" ht="18" hidden="false" customHeight="true" outlineLevel="0" collapsed="false">
      <c r="A21" s="8" t="s">
        <v>18</v>
      </c>
      <c r="B21" s="8"/>
      <c r="C21" s="9" t="s">
        <v>19</v>
      </c>
      <c r="D21" s="9"/>
      <c r="E21" s="9"/>
      <c r="F21" s="9"/>
      <c r="G21" s="9"/>
    </row>
    <row r="22" customFormat="false" ht="19.5" hidden="false" customHeight="true" outlineLevel="0" collapsed="false">
      <c r="A22" s="7" t="s">
        <v>20</v>
      </c>
      <c r="B22" s="7"/>
      <c r="C22" s="7"/>
      <c r="D22" s="7"/>
      <c r="E22" s="7"/>
      <c r="F22" s="7"/>
      <c r="G22" s="7"/>
    </row>
    <row r="23" customFormat="false" ht="18" hidden="false" customHeight="true" outlineLevel="0" collapsed="false">
      <c r="A23" s="10" t="s">
        <v>21</v>
      </c>
      <c r="B23" s="10"/>
      <c r="C23" s="10"/>
      <c r="D23" s="11" t="n">
        <f aca="false">'Income Schedule'!D35</f>
        <v>15314000</v>
      </c>
      <c r="E23" s="11"/>
      <c r="F23" s="11"/>
      <c r="G23" s="11"/>
    </row>
    <row r="24" customFormat="false" ht="18" hidden="false" customHeight="true" outlineLevel="0" collapsed="false">
      <c r="A24" s="10" t="s">
        <v>22</v>
      </c>
      <c r="B24" s="10"/>
      <c r="C24" s="10"/>
      <c r="D24" s="12" t="n">
        <f aca="false">Deductions!D30</f>
        <v>0</v>
      </c>
      <c r="E24" s="12"/>
      <c r="F24" s="12"/>
      <c r="G24" s="12"/>
    </row>
    <row r="25" customFormat="false" ht="18" hidden="false" customHeight="true" outlineLevel="0" collapsed="false">
      <c r="A25" s="13" t="s">
        <v>23</v>
      </c>
      <c r="B25" s="13"/>
      <c r="C25" s="13"/>
      <c r="D25" s="14" t="s">
        <v>24</v>
      </c>
      <c r="E25" s="14"/>
      <c r="F25" s="14"/>
      <c r="G25" s="14"/>
    </row>
    <row r="26" customFormat="false" ht="18" hidden="false" customHeight="true" outlineLevel="0" collapsed="false">
      <c r="A26" s="10" t="s">
        <v>25</v>
      </c>
      <c r="B26" s="10"/>
      <c r="C26" s="10"/>
      <c r="D26" s="11" t="n">
        <f aca="false">'Tax Computation'!D42</f>
        <v>0</v>
      </c>
      <c r="E26" s="11"/>
      <c r="F26" s="11"/>
      <c r="G26" s="11"/>
    </row>
    <row r="27" customFormat="false" ht="18" hidden="false" customHeight="true" outlineLevel="0" collapsed="false">
      <c r="A27" s="10" t="s">
        <v>26</v>
      </c>
      <c r="B27" s="10"/>
      <c r="C27" s="10"/>
      <c r="D27" s="11" t="n">
        <f aca="false">'Tax Computation'!H42</f>
        <v>0</v>
      </c>
      <c r="E27" s="11"/>
      <c r="F27" s="11"/>
      <c r="G27" s="11"/>
    </row>
    <row r="28" customFormat="false" ht="18" hidden="false" customHeight="true" outlineLevel="0" collapsed="false">
      <c r="A28" s="13" t="s">
        <v>27</v>
      </c>
      <c r="B28" s="13"/>
      <c r="C28" s="13"/>
      <c r="D28" s="15" t="n">
        <f aca="false">'Tax Computation'!D46</f>
        <v>0</v>
      </c>
      <c r="E28" s="15"/>
      <c r="F28" s="15"/>
      <c r="G28" s="15"/>
    </row>
    <row r="29" customFormat="false" ht="18" hidden="false" customHeight="true" outlineLevel="0" collapsed="false">
      <c r="A29" s="13" t="s">
        <v>28</v>
      </c>
      <c r="B29" s="13"/>
      <c r="C29" s="13"/>
      <c r="D29" s="15" t="n">
        <f aca="false">'Tax Computation'!D50</f>
        <v>0</v>
      </c>
      <c r="E29" s="15"/>
      <c r="F29" s="15"/>
      <c r="G29" s="15"/>
    </row>
    <row r="31" customFormat="false" ht="18" hidden="false" customHeight="true" outlineLevel="0" collapsed="false">
      <c r="A31" s="16" t="s">
        <v>29</v>
      </c>
      <c r="B31" s="16"/>
      <c r="C31" s="16"/>
      <c r="D31" s="16"/>
      <c r="E31" s="16"/>
      <c r="F31" s="16"/>
      <c r="G31" s="16"/>
    </row>
    <row r="32" customFormat="false" ht="9.75" hidden="false" customHeight="true" outlineLevel="0" collapsed="false"/>
    <row r="33" customFormat="false" ht="18" hidden="false" customHeight="true" outlineLevel="0" collapsed="false">
      <c r="A33" s="17" t="s">
        <v>30</v>
      </c>
      <c r="B33" s="17"/>
      <c r="C33" s="17"/>
      <c r="D33" s="17"/>
      <c r="E33" s="17"/>
      <c r="F33" s="17"/>
      <c r="G33" s="17"/>
    </row>
    <row r="34" customFormat="false" ht="15.75" hidden="false" customHeight="true" outlineLevel="0" collapsed="false">
      <c r="A34" s="18" t="s">
        <v>31</v>
      </c>
      <c r="B34" s="18"/>
      <c r="C34" s="19" t="s">
        <v>32</v>
      </c>
      <c r="D34" s="19"/>
      <c r="E34" s="19"/>
      <c r="F34" s="19"/>
      <c r="G34" s="19"/>
    </row>
    <row r="35" customFormat="false" ht="15.75" hidden="false" customHeight="true" outlineLevel="0" collapsed="false">
      <c r="A35" s="20" t="s">
        <v>33</v>
      </c>
      <c r="B35" s="20"/>
      <c r="C35" s="19" t="s">
        <v>34</v>
      </c>
      <c r="D35" s="19"/>
      <c r="E35" s="19"/>
      <c r="F35" s="19"/>
      <c r="G35" s="19"/>
    </row>
    <row r="36" customFormat="false" ht="15.75" hidden="false" customHeight="true" outlineLevel="0" collapsed="false">
      <c r="A36" s="21" t="s">
        <v>35</v>
      </c>
      <c r="B36" s="21"/>
      <c r="C36" s="19" t="s">
        <v>36</v>
      </c>
      <c r="D36" s="19"/>
      <c r="E36" s="19"/>
      <c r="F36" s="19"/>
      <c r="G36" s="19"/>
    </row>
  </sheetData>
  <mergeCells count="45">
    <mergeCell ref="A2:G5"/>
    <mergeCell ref="A6:G7"/>
    <mergeCell ref="A8:G8"/>
    <mergeCell ref="A10:G11"/>
    <mergeCell ref="A12:G12"/>
    <mergeCell ref="A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G22"/>
    <mergeCell ref="A23:C23"/>
    <mergeCell ref="D23:G23"/>
    <mergeCell ref="A24:C24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29"/>
    <mergeCell ref="D29:G29"/>
    <mergeCell ref="A31:G31"/>
    <mergeCell ref="A33:G33"/>
    <mergeCell ref="A34:B34"/>
    <mergeCell ref="C34:G34"/>
    <mergeCell ref="A35:B35"/>
    <mergeCell ref="C35:G35"/>
    <mergeCell ref="A36:B36"/>
    <mergeCell ref="C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4"/>
    <col collapsed="false" customWidth="true" hidden="false" outlineLevel="0" max="4" min="3" style="1" width="16"/>
  </cols>
  <sheetData>
    <row r="1" customFormat="false" ht="25.5" hidden="false" customHeight="true" outlineLevel="0" collapsed="false">
      <c r="A1" s="22" t="s">
        <v>37</v>
      </c>
      <c r="B1" s="22"/>
      <c r="C1" s="22"/>
      <c r="D1" s="22"/>
    </row>
    <row r="2" customFormat="false" ht="18" hidden="false" customHeight="true" outlineLevel="0" collapsed="false">
      <c r="A2" s="23" t="s">
        <v>38</v>
      </c>
      <c r="B2" s="23" t="s">
        <v>39</v>
      </c>
      <c r="C2" s="23" t="s">
        <v>40</v>
      </c>
      <c r="D2" s="23" t="s">
        <v>41</v>
      </c>
    </row>
    <row r="3" customFormat="false" ht="15.75" hidden="false" customHeight="true" outlineLevel="0" collapsed="false">
      <c r="A3" s="24" t="s">
        <v>42</v>
      </c>
      <c r="B3" s="24"/>
      <c r="C3" s="24"/>
      <c r="D3" s="24"/>
    </row>
    <row r="4" customFormat="false" ht="16.5" hidden="false" customHeight="true" outlineLevel="0" collapsed="false">
      <c r="A4" s="25" t="s">
        <v>43</v>
      </c>
      <c r="B4" s="26" t="s">
        <v>44</v>
      </c>
      <c r="C4" s="27" t="n">
        <v>15000000</v>
      </c>
      <c r="D4" s="27" t="n">
        <v>15000000</v>
      </c>
    </row>
    <row r="5" customFormat="false" ht="16.5" hidden="false" customHeight="true" outlineLevel="0" collapsed="false">
      <c r="A5" s="25" t="s">
        <v>45</v>
      </c>
      <c r="B5" s="26" t="s">
        <v>46</v>
      </c>
      <c r="C5" s="27" t="n">
        <v>0</v>
      </c>
      <c r="D5" s="27" t="n">
        <v>-150000</v>
      </c>
    </row>
    <row r="6" customFormat="false" ht="16.5" hidden="false" customHeight="true" outlineLevel="0" collapsed="false">
      <c r="A6" s="25" t="s">
        <v>47</v>
      </c>
      <c r="B6" s="26" t="s">
        <v>48</v>
      </c>
      <c r="C6" s="27" t="n">
        <v>-75000</v>
      </c>
      <c r="D6" s="27" t="n">
        <v>-50000</v>
      </c>
    </row>
    <row r="7" customFormat="false" ht="16.5" hidden="false" customHeight="true" outlineLevel="0" collapsed="false">
      <c r="A7" s="25" t="s">
        <v>49</v>
      </c>
      <c r="B7" s="26" t="s">
        <v>50</v>
      </c>
      <c r="C7" s="27" t="n">
        <v>0</v>
      </c>
      <c r="D7" s="27" t="n">
        <v>-2400</v>
      </c>
    </row>
    <row r="8" customFormat="false" ht="16.5" hidden="false" customHeight="true" outlineLevel="0" collapsed="false">
      <c r="A8" s="28" t="s">
        <v>51</v>
      </c>
      <c r="B8" s="29"/>
      <c r="C8" s="30" t="n">
        <f aca="false">SUM(C4:C7)</f>
        <v>14925000</v>
      </c>
      <c r="D8" s="30" t="n">
        <f aca="false">SUM(D4:D7)</f>
        <v>14797600</v>
      </c>
    </row>
    <row r="9" customFormat="false" ht="6" hidden="false" customHeight="true" outlineLevel="0" collapsed="false"/>
    <row r="10" customFormat="false" ht="15.75" hidden="false" customHeight="true" outlineLevel="0" collapsed="false">
      <c r="A10" s="24" t="s">
        <v>52</v>
      </c>
      <c r="B10" s="24"/>
      <c r="C10" s="24"/>
      <c r="D10" s="24"/>
    </row>
    <row r="11" customFormat="false" ht="16.5" hidden="false" customHeight="true" outlineLevel="0" collapsed="false">
      <c r="A11" s="25" t="s">
        <v>53</v>
      </c>
      <c r="B11" s="31" t="s">
        <v>50</v>
      </c>
      <c r="C11" s="27" t="n">
        <v>0</v>
      </c>
      <c r="D11" s="27" t="n">
        <v>240000</v>
      </c>
    </row>
    <row r="12" customFormat="false" ht="16.5" hidden="false" customHeight="true" outlineLevel="0" collapsed="false">
      <c r="A12" s="25" t="s">
        <v>54</v>
      </c>
      <c r="B12" s="31" t="s">
        <v>50</v>
      </c>
      <c r="C12" s="27" t="n">
        <v>0</v>
      </c>
      <c r="D12" s="27" t="n">
        <v>-12000</v>
      </c>
    </row>
    <row r="13" customFormat="false" ht="16.5" hidden="false" customHeight="true" outlineLevel="0" collapsed="false">
      <c r="A13" s="28" t="s">
        <v>55</v>
      </c>
      <c r="B13" s="31" t="s">
        <v>56</v>
      </c>
      <c r="C13" s="30" t="n">
        <f aca="false">0</f>
        <v>0</v>
      </c>
      <c r="D13" s="30" t="n">
        <f aca="false">D11-D12</f>
        <v>252000</v>
      </c>
    </row>
    <row r="14" customFormat="false" ht="16.5" hidden="false" customHeight="true" outlineLevel="0" collapsed="false">
      <c r="A14" s="25" t="s">
        <v>57</v>
      </c>
      <c r="B14" s="31" t="s">
        <v>58</v>
      </c>
      <c r="C14" s="32" t="n">
        <f aca="false">0</f>
        <v>0</v>
      </c>
      <c r="D14" s="32" t="n">
        <f aca="false">-D13*0.3</f>
        <v>-75600</v>
      </c>
    </row>
    <row r="15" customFormat="false" ht="16.5" hidden="false" customHeight="true" outlineLevel="0" collapsed="false">
      <c r="A15" s="25" t="s">
        <v>59</v>
      </c>
      <c r="B15" s="31" t="s">
        <v>50</v>
      </c>
      <c r="C15" s="27" t="n">
        <v>0</v>
      </c>
      <c r="D15" s="27" t="n">
        <v>0</v>
      </c>
    </row>
    <row r="16" customFormat="false" ht="16.5" hidden="false" customHeight="true" outlineLevel="0" collapsed="false">
      <c r="A16" s="25" t="s">
        <v>60</v>
      </c>
      <c r="B16" s="31" t="s">
        <v>61</v>
      </c>
      <c r="C16" s="27" t="n">
        <v>0</v>
      </c>
      <c r="D16" s="27" t="n">
        <v>-200000</v>
      </c>
    </row>
    <row r="17" customFormat="false" ht="16.5" hidden="false" customHeight="true" outlineLevel="0" collapsed="false">
      <c r="A17" s="28" t="s">
        <v>62</v>
      </c>
      <c r="B17" s="31"/>
      <c r="C17" s="30" t="n">
        <f aca="false">SUM(C11:C16)</f>
        <v>0</v>
      </c>
      <c r="D17" s="30" t="n">
        <f aca="false">SUM(D11:D16)</f>
        <v>204400</v>
      </c>
    </row>
    <row r="18" customFormat="false" ht="6" hidden="false" customHeight="true" outlineLevel="0" collapsed="false"/>
    <row r="19" customFormat="false" ht="15.75" hidden="false" customHeight="true" outlineLevel="0" collapsed="false">
      <c r="A19" s="24" t="s">
        <v>63</v>
      </c>
      <c r="B19" s="24"/>
      <c r="C19" s="24"/>
      <c r="D19" s="24"/>
    </row>
    <row r="20" customFormat="false" ht="16.5" hidden="false" customHeight="true" outlineLevel="0" collapsed="false">
      <c r="A20" s="25" t="s">
        <v>64</v>
      </c>
      <c r="B20" s="31" t="s">
        <v>65</v>
      </c>
      <c r="C20" s="27" t="n">
        <v>250000</v>
      </c>
      <c r="D20" s="27" t="n">
        <v>250000</v>
      </c>
    </row>
    <row r="21" customFormat="false" ht="16.5" hidden="false" customHeight="true" outlineLevel="0" collapsed="false">
      <c r="A21" s="25" t="s">
        <v>66</v>
      </c>
      <c r="B21" s="31" t="s">
        <v>67</v>
      </c>
      <c r="C21" s="27" t="n">
        <v>0</v>
      </c>
      <c r="D21" s="27" t="n">
        <v>0</v>
      </c>
    </row>
    <row r="22" customFormat="false" ht="16.5" hidden="false" customHeight="true" outlineLevel="0" collapsed="false">
      <c r="A22" s="25" t="s">
        <v>68</v>
      </c>
      <c r="B22" s="31" t="s">
        <v>69</v>
      </c>
      <c r="C22" s="27" t="n">
        <v>0</v>
      </c>
      <c r="D22" s="27" t="n">
        <v>0</v>
      </c>
    </row>
    <row r="23" customFormat="false" ht="16.5" hidden="false" customHeight="true" outlineLevel="0" collapsed="false">
      <c r="A23" s="25" t="s">
        <v>70</v>
      </c>
      <c r="B23" s="31" t="s">
        <v>71</v>
      </c>
      <c r="C23" s="27" t="n">
        <v>0</v>
      </c>
      <c r="D23" s="27" t="n">
        <v>0</v>
      </c>
    </row>
    <row r="24" customFormat="false" ht="16.5" hidden="false" customHeight="true" outlineLevel="0" collapsed="false">
      <c r="A24" s="28" t="s">
        <v>72</v>
      </c>
      <c r="B24" s="31"/>
      <c r="C24" s="30" t="n">
        <f aca="false">SUM(C20:C23)</f>
        <v>250000</v>
      </c>
      <c r="D24" s="30" t="n">
        <f aca="false">SUM(D20:D23)</f>
        <v>250000</v>
      </c>
    </row>
    <row r="25" customFormat="false" ht="6" hidden="false" customHeight="true" outlineLevel="0" collapsed="false"/>
    <row r="26" customFormat="false" ht="15.75" hidden="false" customHeight="true" outlineLevel="0" collapsed="false">
      <c r="A26" s="24" t="s">
        <v>73</v>
      </c>
      <c r="B26" s="24"/>
      <c r="C26" s="24"/>
      <c r="D26" s="24"/>
    </row>
    <row r="27" customFormat="false" ht="16.5" hidden="false" customHeight="true" outlineLevel="0" collapsed="false">
      <c r="A27" s="25" t="s">
        <v>74</v>
      </c>
      <c r="B27" s="31" t="s">
        <v>75</v>
      </c>
      <c r="C27" s="27" t="n">
        <v>12000</v>
      </c>
      <c r="D27" s="27" t="n">
        <v>12000</v>
      </c>
    </row>
    <row r="28" customFormat="false" ht="16.5" hidden="false" customHeight="true" outlineLevel="0" collapsed="false">
      <c r="A28" s="25" t="s">
        <v>76</v>
      </c>
      <c r="B28" s="31" t="s">
        <v>77</v>
      </c>
      <c r="C28" s="27" t="n">
        <v>50000</v>
      </c>
      <c r="D28" s="27" t="n">
        <v>50000</v>
      </c>
    </row>
    <row r="29" customFormat="false" ht="16.5" hidden="false" customHeight="true" outlineLevel="0" collapsed="false">
      <c r="A29" s="25" t="s">
        <v>78</v>
      </c>
      <c r="B29" s="31" t="s">
        <v>79</v>
      </c>
      <c r="C29" s="27" t="n">
        <v>0</v>
      </c>
      <c r="D29" s="27" t="n">
        <v>0</v>
      </c>
    </row>
    <row r="30" customFormat="false" ht="16.5" hidden="false" customHeight="true" outlineLevel="0" collapsed="false">
      <c r="A30" s="25" t="s">
        <v>80</v>
      </c>
      <c r="B30" s="31" t="s">
        <v>79</v>
      </c>
      <c r="C30" s="27" t="n">
        <v>0</v>
      </c>
      <c r="D30" s="27" t="n">
        <v>0</v>
      </c>
    </row>
    <row r="31" customFormat="false" ht="16.5" hidden="false" customHeight="true" outlineLevel="0" collapsed="false">
      <c r="A31" s="28" t="s">
        <v>81</v>
      </c>
      <c r="B31" s="31"/>
      <c r="C31" s="30" t="n">
        <f aca="false">SUM(C27:C30)</f>
        <v>62000</v>
      </c>
      <c r="D31" s="30" t="n">
        <f aca="false">SUM(D27:D30)</f>
        <v>62000</v>
      </c>
    </row>
    <row r="33" customFormat="false" ht="6" hidden="false" customHeight="true" outlineLevel="0" collapsed="false"/>
    <row r="34" customFormat="false" ht="7.5" hidden="false" customHeight="true" outlineLevel="0" collapsed="false">
      <c r="A34" s="33"/>
      <c r="B34" s="33"/>
      <c r="C34" s="33"/>
      <c r="D34" s="33"/>
    </row>
    <row r="35" customFormat="false" ht="21.75" hidden="false" customHeight="true" outlineLevel="0" collapsed="false">
      <c r="A35" s="34" t="s">
        <v>82</v>
      </c>
      <c r="B35" s="35"/>
      <c r="C35" s="36" t="n">
        <f aca="false">C8+C17+C24+C31</f>
        <v>15237000</v>
      </c>
      <c r="D35" s="36" t="n">
        <f aca="false">D8+D17+D24+D31</f>
        <v>15314000</v>
      </c>
    </row>
  </sheetData>
  <mergeCells count="5">
    <mergeCell ref="A1:D1"/>
    <mergeCell ref="A3:D3"/>
    <mergeCell ref="A10:D10"/>
    <mergeCell ref="A19:D19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8"/>
    <col collapsed="false" customWidth="true" hidden="false" outlineLevel="0" max="4" min="3" style="1" width="16"/>
  </cols>
  <sheetData>
    <row r="1" customFormat="false" ht="25.5" hidden="false" customHeight="true" outlineLevel="0" collapsed="false">
      <c r="A1" s="22" t="s">
        <v>83</v>
      </c>
      <c r="B1" s="22"/>
      <c r="C1" s="22"/>
      <c r="D1" s="22"/>
    </row>
    <row r="2" customFormat="false" ht="18" hidden="false" customHeight="true" outlineLevel="0" collapsed="false">
      <c r="A2" s="23" t="s">
        <v>84</v>
      </c>
      <c r="B2" s="23" t="s">
        <v>85</v>
      </c>
      <c r="C2" s="23" t="s">
        <v>86</v>
      </c>
      <c r="D2" s="23" t="s">
        <v>87</v>
      </c>
    </row>
    <row r="3" customFormat="false" ht="16.5" hidden="false" customHeight="true" outlineLevel="0" collapsed="false">
      <c r="A3" s="24" t="s">
        <v>88</v>
      </c>
      <c r="B3" s="24"/>
      <c r="C3" s="24"/>
      <c r="D3" s="24"/>
    </row>
    <row r="4" customFormat="false" ht="16.5" hidden="false" customHeight="true" outlineLevel="0" collapsed="false">
      <c r="A4" s="25" t="s">
        <v>89</v>
      </c>
      <c r="B4" s="26" t="s">
        <v>50</v>
      </c>
      <c r="C4" s="27" t="n">
        <v>60000</v>
      </c>
      <c r="D4" s="37" t="n">
        <f aca="false">C4</f>
        <v>60000</v>
      </c>
    </row>
    <row r="5" customFormat="false" ht="16.5" hidden="false" customHeight="true" outlineLevel="0" collapsed="false">
      <c r="A5" s="25" t="s">
        <v>90</v>
      </c>
      <c r="B5" s="26" t="s">
        <v>50</v>
      </c>
      <c r="C5" s="27" t="n">
        <v>50000</v>
      </c>
      <c r="D5" s="37" t="n">
        <f aca="false">C5</f>
        <v>50000</v>
      </c>
    </row>
    <row r="6" customFormat="false" ht="16.5" hidden="false" customHeight="true" outlineLevel="0" collapsed="false">
      <c r="A6" s="25" t="s">
        <v>91</v>
      </c>
      <c r="B6" s="26" t="s">
        <v>50</v>
      </c>
      <c r="C6" s="27" t="n">
        <v>40000</v>
      </c>
      <c r="D6" s="37" t="n">
        <f aca="false">C6</f>
        <v>40000</v>
      </c>
    </row>
    <row r="7" customFormat="false" ht="16.5" hidden="false" customHeight="true" outlineLevel="0" collapsed="false">
      <c r="A7" s="25" t="s">
        <v>92</v>
      </c>
      <c r="B7" s="26" t="s">
        <v>50</v>
      </c>
      <c r="C7" s="27" t="n">
        <v>20000</v>
      </c>
      <c r="D7" s="37" t="n">
        <f aca="false">C7</f>
        <v>20000</v>
      </c>
    </row>
    <row r="8" customFormat="false" ht="16.5" hidden="false" customHeight="true" outlineLevel="0" collapsed="false">
      <c r="A8" s="38" t="s">
        <v>93</v>
      </c>
      <c r="B8" s="39" t="s">
        <v>94</v>
      </c>
      <c r="C8" s="40"/>
      <c r="D8" s="30" t="n">
        <f aca="false">MIN(SUM(C4:C7),150000)</f>
        <v>150000</v>
      </c>
    </row>
    <row r="9" customFormat="false" ht="16.5" hidden="false" customHeight="true" outlineLevel="0" collapsed="false">
      <c r="A9" s="24" t="s">
        <v>95</v>
      </c>
      <c r="B9" s="24"/>
      <c r="C9" s="24"/>
      <c r="D9" s="24"/>
    </row>
    <row r="10" customFormat="false" ht="16.5" hidden="false" customHeight="true" outlineLevel="0" collapsed="false">
      <c r="A10" s="25" t="s">
        <v>96</v>
      </c>
      <c r="B10" s="26" t="s">
        <v>97</v>
      </c>
      <c r="C10" s="27" t="n">
        <v>30000</v>
      </c>
      <c r="D10" s="37" t="n">
        <f aca="false">C10</f>
        <v>30000</v>
      </c>
    </row>
    <row r="11" customFormat="false" ht="16.5" hidden="false" customHeight="true" outlineLevel="0" collapsed="false">
      <c r="A11" s="25" t="s">
        <v>98</v>
      </c>
      <c r="B11" s="26" t="s">
        <v>99</v>
      </c>
      <c r="C11" s="27" t="n">
        <v>50000</v>
      </c>
      <c r="D11" s="37" t="n">
        <f aca="false">C11</f>
        <v>50000</v>
      </c>
    </row>
    <row r="12" customFormat="false" ht="16.5" hidden="false" customHeight="true" outlineLevel="0" collapsed="false">
      <c r="A12" s="38" t="s">
        <v>100</v>
      </c>
      <c r="B12" s="39" t="s">
        <v>101</v>
      </c>
      <c r="C12" s="40"/>
      <c r="D12" s="30" t="n">
        <f aca="false">MIN(C9,50000)+C10</f>
        <v>80000</v>
      </c>
    </row>
    <row r="13" customFormat="false" ht="16.5" hidden="false" customHeight="true" outlineLevel="0" collapsed="false">
      <c r="A13" s="24" t="s">
        <v>102</v>
      </c>
      <c r="B13" s="24"/>
      <c r="C13" s="24"/>
      <c r="D13" s="24"/>
    </row>
    <row r="14" customFormat="false" ht="16.5" hidden="false" customHeight="true" outlineLevel="0" collapsed="false">
      <c r="A14" s="25" t="s">
        <v>103</v>
      </c>
      <c r="B14" s="26" t="s">
        <v>104</v>
      </c>
      <c r="C14" s="27" t="n">
        <v>20000</v>
      </c>
      <c r="D14" s="37" t="n">
        <f aca="false">C14</f>
        <v>20000</v>
      </c>
    </row>
    <row r="15" customFormat="false" ht="16.5" hidden="false" customHeight="true" outlineLevel="0" collapsed="false">
      <c r="A15" s="25" t="s">
        <v>105</v>
      </c>
      <c r="B15" s="26" t="s">
        <v>104</v>
      </c>
      <c r="C15" s="27" t="n">
        <v>15000</v>
      </c>
      <c r="D15" s="37" t="n">
        <f aca="false">C15</f>
        <v>15000</v>
      </c>
    </row>
    <row r="16" customFormat="false" ht="16.5" hidden="false" customHeight="true" outlineLevel="0" collapsed="false">
      <c r="A16" s="38" t="s">
        <v>106</v>
      </c>
      <c r="B16" s="39" t="s">
        <v>107</v>
      </c>
      <c r="C16" s="40"/>
      <c r="D16" s="30" t="n">
        <f aca="false">MIN(C13,25000)+MIN(C14,25000)</f>
        <v>45000</v>
      </c>
    </row>
    <row r="17" customFormat="false" ht="16.5" hidden="false" customHeight="true" outlineLevel="0" collapsed="false">
      <c r="A17" s="24" t="s">
        <v>108</v>
      </c>
      <c r="B17" s="24"/>
      <c r="C17" s="24"/>
      <c r="D17" s="24"/>
    </row>
    <row r="18" customFormat="false" ht="16.5" hidden="false" customHeight="true" outlineLevel="0" collapsed="false">
      <c r="A18" s="25" t="s">
        <v>109</v>
      </c>
      <c r="B18" s="26" t="s">
        <v>110</v>
      </c>
      <c r="C18" s="27" t="n">
        <v>0</v>
      </c>
      <c r="D18" s="37" t="n">
        <f aca="false">C18</f>
        <v>0</v>
      </c>
    </row>
    <row r="19" customFormat="false" ht="16.5" hidden="false" customHeight="true" outlineLevel="0" collapsed="false">
      <c r="A19" s="25" t="s">
        <v>111</v>
      </c>
      <c r="B19" s="26" t="s">
        <v>112</v>
      </c>
      <c r="C19" s="27" t="n">
        <v>10000</v>
      </c>
      <c r="D19" s="37" t="n">
        <f aca="false">C19</f>
        <v>10000</v>
      </c>
    </row>
    <row r="20" customFormat="false" ht="16.5" hidden="false" customHeight="true" outlineLevel="0" collapsed="false">
      <c r="A20" s="25" t="s">
        <v>113</v>
      </c>
      <c r="B20" s="26" t="s">
        <v>114</v>
      </c>
      <c r="C20" s="27" t="n">
        <v>5000</v>
      </c>
      <c r="D20" s="37" t="n">
        <f aca="false">C20</f>
        <v>5000</v>
      </c>
    </row>
    <row r="21" customFormat="false" ht="16.5" hidden="false" customHeight="true" outlineLevel="0" collapsed="false">
      <c r="A21" s="38" t="s">
        <v>115</v>
      </c>
      <c r="B21" s="39"/>
      <c r="C21" s="40"/>
      <c r="D21" s="30" t="n">
        <f aca="false">C17+MIN(C18,10000)+C19*0.5</f>
        <v>5000</v>
      </c>
    </row>
    <row r="22" customFormat="false" ht="21.75" hidden="false" customHeight="true" outlineLevel="0" collapsed="false">
      <c r="A22" s="34" t="s">
        <v>116</v>
      </c>
      <c r="B22" s="34" t="s">
        <v>117</v>
      </c>
      <c r="C22" s="41"/>
      <c r="D22" s="36" t="n">
        <f aca="false">D8+D11+D15+D20</f>
        <v>220000</v>
      </c>
    </row>
    <row r="24" customFormat="false" ht="15.75" hidden="false" customHeight="true" outlineLevel="0" collapsed="false">
      <c r="A24" s="42" t="s">
        <v>118</v>
      </c>
      <c r="B24" s="42"/>
      <c r="C24" s="42"/>
      <c r="D24" s="42"/>
    </row>
  </sheetData>
  <mergeCells count="6">
    <mergeCell ref="A1:D1"/>
    <mergeCell ref="A3:D3"/>
    <mergeCell ref="A9:D9"/>
    <mergeCell ref="A13:D13"/>
    <mergeCell ref="A17:D17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6"/>
    <col collapsed="false" customWidth="true" hidden="false" outlineLevel="0" max="10" min="3" style="1" width="8"/>
  </cols>
  <sheetData>
    <row r="1" customFormat="false" ht="25.5" hidden="false" customHeight="true" outlineLevel="0" collapsed="false">
      <c r="A1" s="22" t="s">
        <v>119</v>
      </c>
      <c r="B1" s="22"/>
      <c r="C1" s="22"/>
      <c r="D1" s="22"/>
      <c r="E1" s="22"/>
      <c r="F1" s="22"/>
      <c r="G1" s="22"/>
      <c r="H1" s="22"/>
    </row>
    <row r="2" customFormat="false" ht="18" hidden="false" customHeight="true" outlineLevel="0" collapsed="false">
      <c r="A2" s="23" t="s">
        <v>120</v>
      </c>
      <c r="B2" s="23" t="s">
        <v>39</v>
      </c>
      <c r="C2" s="23" t="s">
        <v>121</v>
      </c>
      <c r="D2" s="23"/>
      <c r="E2" s="23"/>
      <c r="F2" s="23" t="s">
        <v>122</v>
      </c>
      <c r="G2" s="23"/>
      <c r="H2" s="23"/>
      <c r="I2" s="23" t="s">
        <v>123</v>
      </c>
      <c r="J2" s="23"/>
    </row>
    <row r="3" customFormat="false" ht="15.75" hidden="false" customHeight="true" outlineLevel="0" collapsed="false">
      <c r="A3" s="24" t="s">
        <v>124</v>
      </c>
      <c r="B3" s="24"/>
      <c r="C3" s="24"/>
      <c r="D3" s="24"/>
      <c r="E3" s="24"/>
      <c r="F3" s="24"/>
      <c r="G3" s="24"/>
      <c r="H3" s="24"/>
      <c r="I3" s="24"/>
      <c r="J3" s="24"/>
    </row>
    <row r="4" customFormat="false" ht="18" hidden="false" customHeight="true" outlineLevel="0" collapsed="false">
      <c r="A4" s="25" t="s">
        <v>21</v>
      </c>
      <c r="B4" s="26" t="s">
        <v>125</v>
      </c>
      <c r="C4" s="11" t="n">
        <f aca="false">'Income Schedule'!C35</f>
        <v>15237000</v>
      </c>
      <c r="D4" s="11"/>
      <c r="E4" s="11"/>
      <c r="F4" s="11" t="n">
        <f aca="false">'Income Schedule'!D35</f>
        <v>15314000</v>
      </c>
      <c r="G4" s="11"/>
      <c r="H4" s="11"/>
      <c r="I4" s="32" t="n">
        <f aca="false">F4-C4</f>
        <v>77000</v>
      </c>
      <c r="J4" s="32"/>
    </row>
    <row r="5" customFormat="false" ht="18" hidden="false" customHeight="true" outlineLevel="0" collapsed="false">
      <c r="A5" s="25" t="s">
        <v>126</v>
      </c>
      <c r="B5" s="26" t="s">
        <v>127</v>
      </c>
      <c r="C5" s="11" t="n">
        <f aca="false">Deductions!D10*0</f>
        <v>0</v>
      </c>
      <c r="D5" s="11"/>
      <c r="E5" s="11"/>
      <c r="F5" s="11" t="n">
        <f aca="false">-Deductions!D30</f>
        <v>-0</v>
      </c>
      <c r="G5" s="11"/>
      <c r="H5" s="11"/>
      <c r="I5" s="32" t="n">
        <f aca="false">F5-C5</f>
        <v>-0</v>
      </c>
      <c r="J5" s="32"/>
    </row>
    <row r="6" customFormat="false" ht="18" hidden="false" customHeight="true" outlineLevel="0" collapsed="false">
      <c r="A6" s="28" t="s">
        <v>128</v>
      </c>
      <c r="B6" s="39"/>
      <c r="C6" s="30" t="n">
        <f aca="false">C4+C5</f>
        <v>15237000</v>
      </c>
      <c r="D6" s="30"/>
      <c r="E6" s="30"/>
      <c r="F6" s="30" t="n">
        <f aca="false">F4+F5</f>
        <v>15314000</v>
      </c>
      <c r="G6" s="30"/>
      <c r="H6" s="30"/>
      <c r="I6" s="30" t="n">
        <f aca="false">F6-C6</f>
        <v>77000</v>
      </c>
      <c r="J6" s="30"/>
    </row>
    <row r="7" customFormat="false" ht="6" hidden="false" customHeight="true" outlineLevel="0" collapsed="false"/>
    <row r="8" customFormat="false" ht="15.75" hidden="false" customHeight="true" outlineLevel="0" collapsed="false">
      <c r="A8" s="24" t="s">
        <v>129</v>
      </c>
      <c r="B8" s="24"/>
      <c r="C8" s="24"/>
      <c r="D8" s="24"/>
      <c r="E8" s="24"/>
      <c r="F8" s="24"/>
      <c r="G8" s="24"/>
      <c r="H8" s="24"/>
      <c r="I8" s="24"/>
      <c r="J8" s="24"/>
    </row>
    <row r="9" customFormat="false" ht="18" hidden="false" customHeight="true" outlineLevel="0" collapsed="false">
      <c r="A9" s="25" t="s">
        <v>130</v>
      </c>
      <c r="B9" s="26" t="s">
        <v>131</v>
      </c>
      <c r="C9" s="12" t="n">
        <v>117500</v>
      </c>
      <c r="D9" s="12"/>
      <c r="E9" s="12"/>
      <c r="F9" s="12" t="n">
        <v>262500</v>
      </c>
      <c r="G9" s="12"/>
      <c r="H9" s="12"/>
      <c r="I9" s="32" t="n">
        <f aca="false">F9-C9</f>
        <v>145000</v>
      </c>
      <c r="J9" s="32"/>
    </row>
    <row r="10" customFormat="false" ht="18" hidden="false" customHeight="true" outlineLevel="0" collapsed="false">
      <c r="A10" s="25" t="s">
        <v>132</v>
      </c>
      <c r="B10" s="26" t="s">
        <v>133</v>
      </c>
      <c r="C10" s="11" t="n">
        <f aca="false">('Income Schedule'!C20-125000)*0.125</f>
        <v>15625</v>
      </c>
      <c r="D10" s="11"/>
      <c r="E10" s="11"/>
      <c r="F10" s="11" t="n">
        <f aca="false">('Income Schedule'!D20-125000)*0.125</f>
        <v>15625</v>
      </c>
      <c r="G10" s="11"/>
      <c r="H10" s="11"/>
      <c r="I10" s="32" t="n">
        <f aca="false">F10-C10</f>
        <v>0</v>
      </c>
      <c r="J10" s="32"/>
    </row>
    <row r="11" customFormat="false" ht="18" hidden="false" customHeight="true" outlineLevel="0" collapsed="false">
      <c r="A11" s="28" t="s">
        <v>134</v>
      </c>
      <c r="B11" s="39"/>
      <c r="C11" s="30" t="n">
        <f aca="false">C9+C10</f>
        <v>133125</v>
      </c>
      <c r="D11" s="30"/>
      <c r="E11" s="30"/>
      <c r="F11" s="30" t="n">
        <f aca="false">F9+F10</f>
        <v>278125</v>
      </c>
      <c r="G11" s="30"/>
      <c r="H11" s="30"/>
      <c r="I11" s="30" t="n">
        <f aca="false">F11-C11</f>
        <v>145000</v>
      </c>
      <c r="J11" s="30"/>
    </row>
    <row r="12" customFormat="false" ht="6" hidden="false" customHeight="true" outlineLevel="0" collapsed="false"/>
    <row r="13" customFormat="false" ht="15.75" hidden="false" customHeight="true" outlineLevel="0" collapsed="false">
      <c r="A13" s="24" t="s">
        <v>135</v>
      </c>
      <c r="B13" s="24"/>
      <c r="C13" s="24"/>
      <c r="D13" s="24"/>
      <c r="E13" s="24"/>
      <c r="F13" s="24"/>
      <c r="G13" s="24"/>
      <c r="H13" s="24"/>
      <c r="I13" s="24"/>
      <c r="J13" s="24"/>
    </row>
    <row r="14" customFormat="false" ht="18" hidden="false" customHeight="true" outlineLevel="0" collapsed="false">
      <c r="A14" s="25" t="s">
        <v>136</v>
      </c>
      <c r="B14" s="26" t="s">
        <v>137</v>
      </c>
      <c r="C14" s="12" t="n">
        <v>0</v>
      </c>
      <c r="D14" s="12"/>
      <c r="E14" s="12"/>
      <c r="F14" s="32" t="n">
        <f aca="false">IF(F10&lt;=500000,MIN(F12,12500),0)</f>
        <v>12500</v>
      </c>
      <c r="G14" s="32"/>
      <c r="H14" s="32"/>
      <c r="I14" s="32" t="n">
        <f aca="false">F14-C14</f>
        <v>12500</v>
      </c>
      <c r="J14" s="32"/>
    </row>
    <row r="15" customFormat="false" ht="18" hidden="false" customHeight="true" outlineLevel="0" collapsed="false">
      <c r="A15" s="28" t="s">
        <v>138</v>
      </c>
      <c r="B15" s="39"/>
      <c r="C15" s="30" t="n">
        <f aca="false">C12-C14</f>
        <v>0</v>
      </c>
      <c r="D15" s="30"/>
      <c r="E15" s="30"/>
      <c r="F15" s="30" t="n">
        <f aca="false">F12-F14</f>
        <v>-12500</v>
      </c>
      <c r="G15" s="30"/>
      <c r="H15" s="30"/>
      <c r="I15" s="30" t="n">
        <f aca="false">F15-C15</f>
        <v>-12500</v>
      </c>
      <c r="J15" s="30"/>
    </row>
    <row r="16" customFormat="false" ht="6" hidden="false" customHeight="true" outlineLevel="0" collapsed="false"/>
    <row r="17" customFormat="false" ht="15.75" hidden="false" customHeight="true" outlineLevel="0" collapsed="false">
      <c r="A17" s="24" t="s">
        <v>139</v>
      </c>
      <c r="B17" s="24"/>
      <c r="C17" s="24"/>
      <c r="D17" s="24"/>
      <c r="E17" s="24"/>
      <c r="F17" s="24"/>
      <c r="G17" s="24"/>
      <c r="H17" s="24"/>
      <c r="I17" s="24"/>
      <c r="J17" s="24"/>
    </row>
    <row r="18" customFormat="false" ht="18" hidden="false" customHeight="true" outlineLevel="0" collapsed="false">
      <c r="A18" s="25" t="s">
        <v>140</v>
      </c>
      <c r="B18" s="26" t="s">
        <v>141</v>
      </c>
      <c r="C18" s="12" t="n">
        <v>0</v>
      </c>
      <c r="D18" s="12"/>
      <c r="E18" s="12"/>
      <c r="F18" s="12" t="n">
        <v>0</v>
      </c>
      <c r="G18" s="12"/>
      <c r="H18" s="12"/>
      <c r="I18" s="32" t="n">
        <f aca="false">F18-C18</f>
        <v>0</v>
      </c>
      <c r="J18" s="32"/>
    </row>
    <row r="19" customFormat="false" ht="18" hidden="false" customHeight="true" outlineLevel="0" collapsed="false">
      <c r="A19" s="25" t="s">
        <v>142</v>
      </c>
      <c r="B19" s="26" t="s">
        <v>143</v>
      </c>
      <c r="C19" s="32" t="n">
        <f aca="false">C17*0.04</f>
        <v>0</v>
      </c>
      <c r="D19" s="32"/>
      <c r="E19" s="32"/>
      <c r="F19" s="32" t="n">
        <f aca="false">F17*0.04</f>
        <v>0</v>
      </c>
      <c r="G19" s="32"/>
      <c r="H19" s="32"/>
      <c r="I19" s="32" t="n">
        <f aca="false">F19-C19</f>
        <v>0</v>
      </c>
      <c r="J19" s="32"/>
    </row>
    <row r="20" customFormat="false" ht="6" hidden="false" customHeight="true" outlineLevel="0" collapsed="false"/>
    <row r="21" customFormat="false" ht="21.75" hidden="false" customHeight="true" outlineLevel="0" collapsed="false">
      <c r="A21" s="34" t="s">
        <v>144</v>
      </c>
      <c r="B21" s="34" t="s">
        <v>145</v>
      </c>
      <c r="C21" s="36" t="n">
        <f aca="false">C18+C19+C20</f>
        <v>0</v>
      </c>
      <c r="D21" s="36"/>
      <c r="E21" s="36"/>
      <c r="F21" s="36" t="n">
        <f aca="false">F18+F19+F20</f>
        <v>0</v>
      </c>
      <c r="G21" s="36"/>
      <c r="H21" s="36"/>
      <c r="I21" s="36" t="n">
        <f aca="false">F21-C21</f>
        <v>0</v>
      </c>
      <c r="J21" s="36"/>
    </row>
    <row r="22" customFormat="false" ht="6" hidden="false" customHeight="true" outlineLevel="0" collapsed="false"/>
    <row r="23" customFormat="false" ht="15.75" hidden="false" customHeight="true" outlineLevel="0" collapsed="false">
      <c r="A23" s="24" t="s">
        <v>146</v>
      </c>
      <c r="B23" s="24"/>
      <c r="C23" s="24"/>
      <c r="D23" s="24"/>
      <c r="E23" s="24"/>
      <c r="F23" s="24"/>
      <c r="G23" s="24"/>
      <c r="H23" s="24"/>
      <c r="I23" s="24"/>
      <c r="J23" s="24"/>
    </row>
    <row r="24" customFormat="false" ht="18" hidden="false" customHeight="true" outlineLevel="0" collapsed="false">
      <c r="A24" s="28" t="s">
        <v>147</v>
      </c>
      <c r="B24" s="39" t="s">
        <v>148</v>
      </c>
      <c r="C24" s="30" t="n">
        <f aca="false">F21-C21</f>
        <v>0</v>
      </c>
      <c r="D24" s="30"/>
      <c r="E24" s="30"/>
      <c r="F24" s="43"/>
      <c r="G24" s="43"/>
      <c r="H24" s="43"/>
      <c r="I24" s="30" t="n">
        <f aca="false">F24-C24</f>
        <v>0</v>
      </c>
      <c r="J24" s="30"/>
    </row>
    <row r="25" customFormat="false" ht="18" hidden="false" customHeight="true" outlineLevel="0" collapsed="false">
      <c r="A25" s="25" t="s">
        <v>149</v>
      </c>
      <c r="B25" s="26" t="s">
        <v>150</v>
      </c>
      <c r="C25" s="12" t="n">
        <v>-90000</v>
      </c>
      <c r="D25" s="12"/>
      <c r="E25" s="12"/>
      <c r="F25" s="12" t="n">
        <v>-90000</v>
      </c>
      <c r="G25" s="12"/>
      <c r="H25" s="12"/>
      <c r="I25" s="32" t="n">
        <f aca="false">F25-C25</f>
        <v>0</v>
      </c>
      <c r="J25" s="32"/>
    </row>
    <row r="26" customFormat="false" ht="18" hidden="false" customHeight="true" outlineLevel="0" collapsed="false">
      <c r="A26" s="25" t="s">
        <v>151</v>
      </c>
      <c r="B26" s="26"/>
      <c r="C26" s="12" t="n">
        <v>0</v>
      </c>
      <c r="D26" s="12"/>
      <c r="E26" s="12"/>
      <c r="F26" s="12" t="n">
        <v>0</v>
      </c>
      <c r="G26" s="12"/>
      <c r="H26" s="12"/>
      <c r="I26" s="32" t="n">
        <f aca="false">F26-C26</f>
        <v>0</v>
      </c>
      <c r="J26" s="32"/>
    </row>
    <row r="27" customFormat="false" ht="18" hidden="false" customHeight="true" outlineLevel="0" collapsed="false">
      <c r="A27" s="28" t="s">
        <v>152</v>
      </c>
      <c r="B27" s="39"/>
      <c r="C27" s="30" t="n">
        <f aca="false">C21+C25+C26</f>
        <v>-90000</v>
      </c>
      <c r="D27" s="30"/>
      <c r="E27" s="30"/>
      <c r="F27" s="30" t="n">
        <f aca="false">F21+F25+F26</f>
        <v>-90000</v>
      </c>
      <c r="G27" s="30"/>
      <c r="H27" s="30"/>
      <c r="I27" s="30" t="n">
        <f aca="false">F27-C27</f>
        <v>0</v>
      </c>
      <c r="J27" s="30"/>
    </row>
  </sheetData>
  <mergeCells count="54">
    <mergeCell ref="A1:H1"/>
    <mergeCell ref="C2:E2"/>
    <mergeCell ref="F2:H2"/>
    <mergeCell ref="I2:J2"/>
    <mergeCell ref="A3:J3"/>
    <mergeCell ref="C4:E4"/>
    <mergeCell ref="F4:H4"/>
    <mergeCell ref="I4:J4"/>
    <mergeCell ref="C5:E5"/>
    <mergeCell ref="F5:H5"/>
    <mergeCell ref="I5:J5"/>
    <mergeCell ref="C6:E6"/>
    <mergeCell ref="F6:H6"/>
    <mergeCell ref="I6:J6"/>
    <mergeCell ref="A8:J8"/>
    <mergeCell ref="C9:E9"/>
    <mergeCell ref="F9:H9"/>
    <mergeCell ref="I9:J9"/>
    <mergeCell ref="C10:E10"/>
    <mergeCell ref="F10:H10"/>
    <mergeCell ref="I10:J10"/>
    <mergeCell ref="C11:E11"/>
    <mergeCell ref="F11:H11"/>
    <mergeCell ref="I11:J11"/>
    <mergeCell ref="A13:J13"/>
    <mergeCell ref="C14:E14"/>
    <mergeCell ref="F14:H14"/>
    <mergeCell ref="I14:J14"/>
    <mergeCell ref="C15:E15"/>
    <mergeCell ref="F15:H15"/>
    <mergeCell ref="I15:J15"/>
    <mergeCell ref="A17:J17"/>
    <mergeCell ref="C18:E18"/>
    <mergeCell ref="F18:H18"/>
    <mergeCell ref="I18:J18"/>
    <mergeCell ref="C19:E19"/>
    <mergeCell ref="F19:H19"/>
    <mergeCell ref="I19:J19"/>
    <mergeCell ref="C21:E21"/>
    <mergeCell ref="F21:H21"/>
    <mergeCell ref="I21:J21"/>
    <mergeCell ref="A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7" min="5" style="1" width="16"/>
  </cols>
  <sheetData>
    <row r="1" customFormat="false" ht="25.5" hidden="false" customHeight="true" outlineLevel="0" collapsed="false">
      <c r="A1" s="22" t="s">
        <v>153</v>
      </c>
      <c r="B1" s="22"/>
      <c r="C1" s="22"/>
      <c r="D1" s="22"/>
      <c r="E1" s="22"/>
      <c r="F1" s="22"/>
      <c r="G1" s="22"/>
    </row>
    <row r="2" customFormat="false" ht="19.5" hidden="false" customHeight="true" outlineLevel="0" collapsed="false">
      <c r="A2" s="44" t="s">
        <v>154</v>
      </c>
      <c r="B2" s="44"/>
      <c r="C2" s="44"/>
      <c r="D2" s="44"/>
    </row>
    <row r="3" customFormat="false" ht="15.75" hidden="false" customHeight="true" outlineLevel="0" collapsed="false">
      <c r="A3" s="45" t="s">
        <v>155</v>
      </c>
      <c r="B3" s="45" t="s">
        <v>156</v>
      </c>
      <c r="C3" s="45" t="s">
        <v>157</v>
      </c>
      <c r="D3" s="45" t="s">
        <v>158</v>
      </c>
    </row>
    <row r="4" customFormat="false" ht="15.75" hidden="false" customHeight="true" outlineLevel="0" collapsed="false">
      <c r="A4" s="46" t="s">
        <v>159</v>
      </c>
      <c r="B4" s="47" t="n">
        <v>0</v>
      </c>
      <c r="C4" s="47" t="n">
        <v>400000</v>
      </c>
      <c r="D4" s="46" t="s">
        <v>160</v>
      </c>
    </row>
    <row r="5" customFormat="false" ht="15.75" hidden="false" customHeight="true" outlineLevel="0" collapsed="false">
      <c r="A5" s="48" t="s">
        <v>161</v>
      </c>
      <c r="B5" s="49" t="n">
        <v>400001</v>
      </c>
      <c r="C5" s="49" t="n">
        <v>800000</v>
      </c>
      <c r="D5" s="48" t="s">
        <v>161</v>
      </c>
    </row>
    <row r="6" customFormat="false" ht="15.75" hidden="false" customHeight="true" outlineLevel="0" collapsed="false">
      <c r="A6" s="48" t="s">
        <v>162</v>
      </c>
      <c r="B6" s="49" t="n">
        <v>800001</v>
      </c>
      <c r="C6" s="49" t="n">
        <v>1200000</v>
      </c>
      <c r="D6" s="48" t="s">
        <v>162</v>
      </c>
    </row>
    <row r="7" customFormat="false" ht="15.75" hidden="false" customHeight="true" outlineLevel="0" collapsed="false">
      <c r="A7" s="48" t="s">
        <v>163</v>
      </c>
      <c r="B7" s="49" t="n">
        <v>1200001</v>
      </c>
      <c r="C7" s="49" t="n">
        <v>1600000</v>
      </c>
      <c r="D7" s="48" t="s">
        <v>163</v>
      </c>
    </row>
    <row r="8" customFormat="false" ht="15.75" hidden="false" customHeight="true" outlineLevel="0" collapsed="false">
      <c r="A8" s="48" t="s">
        <v>164</v>
      </c>
      <c r="B8" s="49" t="n">
        <v>1600001</v>
      </c>
      <c r="C8" s="49" t="n">
        <v>2000000</v>
      </c>
      <c r="D8" s="48" t="s">
        <v>164</v>
      </c>
    </row>
    <row r="9" customFormat="false" ht="15.75" hidden="false" customHeight="true" outlineLevel="0" collapsed="false">
      <c r="A9" s="48" t="s">
        <v>165</v>
      </c>
      <c r="B9" s="49" t="n">
        <v>2000001</v>
      </c>
      <c r="C9" s="49" t="n">
        <v>2400000</v>
      </c>
      <c r="D9" s="48" t="s">
        <v>165</v>
      </c>
    </row>
    <row r="10" customFormat="false" ht="15.75" hidden="false" customHeight="true" outlineLevel="0" collapsed="false">
      <c r="A10" s="48" t="s">
        <v>166</v>
      </c>
      <c r="B10" s="49" t="n">
        <v>2400001</v>
      </c>
      <c r="C10" s="49" t="s">
        <v>167</v>
      </c>
      <c r="D10" s="48" t="s">
        <v>166</v>
      </c>
    </row>
    <row r="12" customFormat="false" ht="12" hidden="false" customHeight="true" outlineLevel="0" collapsed="false"/>
    <row r="13" customFormat="false" ht="15.75" hidden="false" customHeight="true" outlineLevel="0" collapsed="false">
      <c r="A13" s="50" t="s">
        <v>168</v>
      </c>
      <c r="B13" s="50"/>
      <c r="C13" s="50"/>
      <c r="D13" s="50"/>
      <c r="E13" s="50"/>
      <c r="F13" s="50"/>
      <c r="G13" s="50"/>
    </row>
    <row r="14" customFormat="false" ht="15.75" hidden="false" customHeight="true" outlineLevel="0" collapsed="false">
      <c r="A14" s="50" t="s">
        <v>169</v>
      </c>
      <c r="B14" s="50"/>
      <c r="C14" s="50"/>
      <c r="D14" s="50"/>
      <c r="E14" s="50"/>
      <c r="F14" s="50"/>
      <c r="G14" s="50"/>
    </row>
    <row r="15" customFormat="false" ht="15.75" hidden="false" customHeight="true" outlineLevel="0" collapsed="false">
      <c r="A15" s="51" t="s">
        <v>170</v>
      </c>
      <c r="B15" s="51"/>
      <c r="C15" s="51"/>
      <c r="D15" s="51"/>
      <c r="E15" s="51"/>
      <c r="F15" s="51"/>
      <c r="G15" s="51"/>
    </row>
    <row r="16" customFormat="false" ht="15.75" hidden="false" customHeight="true" outlineLevel="0" collapsed="false">
      <c r="A16" s="51" t="s">
        <v>171</v>
      </c>
      <c r="B16" s="51"/>
      <c r="C16" s="51"/>
      <c r="D16" s="51"/>
      <c r="E16" s="51"/>
      <c r="F16" s="51"/>
      <c r="G16" s="51"/>
    </row>
    <row r="17" customFormat="false" ht="15.75" hidden="false" customHeight="true" outlineLevel="0" collapsed="false">
      <c r="A17" s="51" t="s">
        <v>172</v>
      </c>
      <c r="B17" s="51"/>
      <c r="C17" s="51"/>
      <c r="D17" s="51"/>
      <c r="E17" s="51"/>
      <c r="F17" s="51"/>
      <c r="G17" s="51"/>
    </row>
    <row r="18" customFormat="false" ht="15.75" hidden="false" customHeight="true" outlineLevel="0" collapsed="false">
      <c r="A18" s="51" t="s">
        <v>173</v>
      </c>
      <c r="B18" s="51"/>
      <c r="C18" s="51"/>
      <c r="D18" s="51"/>
      <c r="E18" s="51"/>
      <c r="F18" s="51"/>
      <c r="G18" s="51"/>
    </row>
  </sheetData>
  <mergeCells count="8">
    <mergeCell ref="A1:G1"/>
    <mergeCell ref="A2:D2"/>
    <mergeCell ref="A13:G13"/>
    <mergeCell ref="A14:G14"/>
    <mergeCell ref="A15:G15"/>
    <mergeCell ref="A16:G16"/>
    <mergeCell ref="A17:G17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2026-05-29T20:12:27Z</dcterms:created>
  <dc:creator>openpyxl</dc:creator>
  <dc:description/>
  <dc:language>en-US</dc:language>
  <cp:lastModifiedBy/>
  <dcterms:modified xsi:type="dcterms:W3CDTF">2026-05-29T20:12:59Z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