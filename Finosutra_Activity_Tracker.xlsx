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ctivity Tracker" sheetId="1" state="visible" r:id="rId3"/>
  </sheets>
  <definedNames>
    <definedName function="false" hidden="true" localSheetId="0" name="_xlnm._FilterDatabase" vbProcedure="false">'Activity Tracker'!$A$6:$H$22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<sst xmlns="http://schemas.openxmlformats.org/spreadsheetml/2006/main" count="127" uniqueCount="71">
  <si>
    <t xml:space="preserve">Finosutra — Founder Activity Tracker</t>
  </si>
  <si>
    <t xml:space="preserve">Last updated: 2026-06-24   |   Review weekly. Update Status as you go.</t>
  </si>
  <si>
    <t xml:space="preserve">Total</t>
  </si>
  <si>
    <t xml:space="preserve">Done</t>
  </si>
  <si>
    <t xml:space="preserve">In Progress</t>
  </si>
  <si>
    <t xml:space="preserve">Not Started</t>
  </si>
  <si>
    <t xml:space="preserve">Blocked</t>
  </si>
  <si>
    <t xml:space="preserve">#</t>
  </si>
  <si>
    <t xml:space="preserve">Workstream</t>
  </si>
  <si>
    <t xml:space="preserve">Task</t>
  </si>
  <si>
    <t xml:space="preserve">Priority</t>
  </si>
  <si>
    <t xml:space="preserve">Status</t>
  </si>
  <si>
    <t xml:space="preserve">Next Action</t>
  </si>
  <si>
    <t xml:space="preserve">Notes</t>
  </si>
  <si>
    <t xml:space="preserve">Date Added</t>
  </si>
  <si>
    <t xml:space="preserve">Revenue &amp; Sales</t>
  </si>
  <si>
    <t xml:space="preserve">Get first real paying Pro subscriber (₹499/mo)</t>
  </si>
  <si>
    <t xml:space="preserve">High</t>
  </si>
  <si>
    <t xml:space="preserve">DM 15-20 CAs/accountants from Krishna's own network directly with the tool link — warmest possible leads</t>
  </si>
  <si>
    <t xml:space="preserve">Payment flow is fully built &amp; tested — zero real conversions yet</t>
  </si>
  <si>
    <t xml:space="preserve">2026-06-25</t>
  </si>
  <si>
    <t xml:space="preserve">Marketing &amp; Growth</t>
  </si>
  <si>
    <t xml:space="preserve">Fix or pause the stalled Google Ads (Paid Search) campaign</t>
  </si>
  <si>
    <t xml:space="preserve">Do not resume broad Paid Search. If restarting: exact-match keywords only ("ind as 116 calculator", "ifrs 16 lease calculator"), Rs 500-1000/day cap, send clicks to homepage not indas116.html</t>
  </si>
  <si>
    <t xml:space="preserve">Was 58% of all traffic but 0% conversion — money spent on clicks that bounced</t>
  </si>
  <si>
    <t xml:space="preserve">Set up GA4 key events / conversion tracking</t>
  </si>
  <si>
    <t xml:space="preserve">Configure key events for purchase completions in GA4</t>
  </si>
  <si>
    <t xml:space="preserve">Currently can't measure true ad ROI without this</t>
  </si>
  <si>
    <t xml:space="preserve">Add a lead-capture mechanism on /indas116.html</t>
  </si>
  <si>
    <t xml:space="preserve">Add an email-capture step ("email me this lease schedule") + a visible "Upgrade to Pro Rs 499/mo" banner on the result screen</t>
  </si>
  <si>
    <t xml:space="preserve">Highest-traffic page (60% of sessions) but converts at 0% — highest-intent moment is being wasted</t>
  </si>
  <si>
    <t xml:space="preserve">Post on Krishna's PERSONAL LinkedIn + DM outreach</t>
  </si>
  <si>
    <t xml:space="preserve">Post a short demo (screen recording) of the Ind AS 116 calculator from personal profile, not company page; DM the 15-20 CAs from the Revenue row above</t>
  </si>
  <si>
    <t xml:space="preserve">Personal accounts outperform new company pages for early B2B trust; company page currently ~0 sessions/month</t>
  </si>
  <si>
    <t xml:space="preserve">Answer Ind AS 116 / GST questions on CAclubindia &amp; Quora</t>
  </si>
  <si>
    <t xml:space="preserve">Find 5-10 live threads asking how to calculate lease liability/ROU asset under Ind AS 116 or GST queries; answer genuinely, link the relevant calculator</t>
  </si>
  <si>
    <t xml:space="preserve">High-intent, zero-cost — these are people already searching for exactly what the tool solves</t>
  </si>
  <si>
    <t xml:space="preserve">Add testimonials / social proof to homepage</t>
  </si>
  <si>
    <t xml:space="preserve">Medium</t>
  </si>
  <si>
    <t xml:space="preserve">Collect 2-3 quotes from the CAs reached via LinkedIn/DM outreach above once they've tried it</t>
  </si>
  <si>
    <t xml:space="preserve">No trust signals on homepage yet — depends on outreach rows above</t>
  </si>
  <si>
    <t xml:space="preserve">GST &amp; Compliance</t>
  </si>
  <si>
    <t xml:space="preserve">Roll out GSTIN across the website</t>
  </si>
  <si>
    <t xml:space="preserve">—</t>
  </si>
  <si>
    <t xml:space="preserve">Completed 2026-06-25 — all 19 customer-facing pages updated</t>
  </si>
  <si>
    <t xml:space="preserve">File first GSTR-1 / GSTR-3B (NIL return)</t>
  </si>
  <si>
    <t xml:space="preserve">Confirm filing frequency and due date; file via GST portal or a CA</t>
  </si>
  <si>
    <t xml:space="preserve">Required even at Rs 0 revenue — missing it risks late fees</t>
  </si>
  <si>
    <t xml:space="preserve">Get Udyam (MSME) Registration Certificate</t>
  </si>
  <si>
    <t xml:space="preserve">Register free at udyamregistration.gov.in using Aadhaar + PAN — instant, self-declared, no documents to upload</t>
  </si>
  <si>
    <t xml:space="preserve">Do this first — it's free, instant, and is one of the 2 govt-issued docs (with GST cert) banks need to open a current account</t>
  </si>
  <si>
    <t xml:space="preserve">Get PTEC (Professional Tax Enrollment Certificate)</t>
  </si>
  <si>
    <t xml:space="preserve">Apply via mahagst.gov.in within 30 days of GST registration; ~Rs 2,500/year flat fee, no return filing, just annual payment</t>
  </si>
  <si>
    <t xml:space="preserve">Mandatory standalone Maharashtra compliance for every proprietor — separate legal obligation, not just a bank requirement</t>
  </si>
  <si>
    <t xml:space="preserve">Open a current account in "Finosutra" name</t>
  </si>
  <si>
    <t xml:space="preserve">Take GST certificate + Udyam certificate + PAN + Aadhaar to the bank (RBI requires 2 govt-issued business docs)</t>
  </si>
  <si>
    <t xml:space="preserve">Blocked by Udyam registration above. Required before Razorpay Proprietorship KYC can be completed</t>
  </si>
  <si>
    <t xml:space="preserve">Migrate Razorpay account to Proprietorship type</t>
  </si>
  <si>
    <t xml:space="preserve">Start new Razorpay account KYC using PAN, GSTIN 27ACWPW1076G1ZX, and the new current account</t>
  </si>
  <si>
    <t xml:space="preserve">Current account is "Individual" type — blocks GST linking. Blocked by the current account above. Cheapest time to switch is now, before real customers exist</t>
  </si>
  <si>
    <t xml:space="preserve">Build a manual GST invoice template</t>
  </si>
  <si>
    <t xml:space="preserve">Build a simple one-page invoice template to email for the first few sales</t>
  </si>
  <si>
    <t xml:space="preserve">Faster than automating Razorpay invoicing at near-zero volume</t>
  </si>
  <si>
    <t xml:space="preserve">Product</t>
  </si>
  <si>
    <t xml:space="preserve">Confirm gst-calculator.html is a working tool, not a stub</t>
  </si>
  <si>
    <t xml:space="preserve">Low</t>
  </si>
  <si>
    <t xml:space="preserve">Krishna to confirm functionality</t>
  </si>
  <si>
    <t xml:space="preserve">Page is getting real GA4 sessions but status is unverified</t>
  </si>
  <si>
    <t xml:space="preserve">Scope GST Reconciliation tool (next product)</t>
  </si>
  <si>
    <t xml:space="preserve">Define MVP scope once Pro flow has its first real customer</t>
  </si>
  <si>
    <t xml:space="preserve">Next major product after the current calculators</t>
  </si>
</sst>
</file>

<file path=xl/styles.xml><?xml version="1.0" encoding="utf-8"?>
<styleSheet xmlns="http://schemas.openxmlformats.org/spreadsheetml/2006/main">
  <numFmts count="1">
    <numFmt numFmtId="164" formatCode="General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FFFFFF"/>
      <name val="Arial"/>
      <family val="0"/>
      <charset val="1"/>
    </font>
    <font>
      <i val="true"/>
      <sz val="10"/>
      <color rgb="FF6B7280"/>
      <name val="Arial"/>
      <family val="0"/>
      <charset val="1"/>
    </font>
    <font>
      <b val="true"/>
      <sz val="9"/>
      <color rgb="FF374151"/>
      <name val="Arial"/>
      <family val="0"/>
      <charset val="1"/>
    </font>
    <font>
      <b val="true"/>
      <sz val="14"/>
      <color rgb="FF111827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</fonts>
  <fills count="12">
    <fill>
      <patternFill patternType="none"/>
    </fill>
    <fill>
      <patternFill patternType="gray125"/>
    </fill>
    <fill>
      <patternFill patternType="solid">
        <fgColor rgb="FF1F2937"/>
        <bgColor rgb="FF111827"/>
      </patternFill>
    </fill>
    <fill>
      <patternFill patternType="solid">
        <fgColor rgb="FFE5E7EB"/>
        <bgColor rgb="FFF3F4F6"/>
      </patternFill>
    </fill>
    <fill>
      <patternFill patternType="solid">
        <fgColor rgb="FFD1FAE5"/>
        <bgColor rgb="FFE5E7EB"/>
      </patternFill>
    </fill>
    <fill>
      <patternFill patternType="solid">
        <fgColor rgb="FFFEF3C7"/>
        <bgColor rgb="FFFEE2E2"/>
      </patternFill>
    </fill>
    <fill>
      <patternFill patternType="solid">
        <fgColor rgb="FFF3F4F6"/>
        <bgColor rgb="FFFFFFFF"/>
      </patternFill>
    </fill>
    <fill>
      <patternFill patternType="solid">
        <fgColor rgb="FFFEE2E2"/>
        <bgColor rgb="FFE5E7EB"/>
      </patternFill>
    </fill>
    <fill>
      <patternFill patternType="solid">
        <fgColor rgb="FF6366F1"/>
        <bgColor rgb="FF6B7280"/>
      </patternFill>
    </fill>
    <fill>
      <patternFill patternType="solid">
        <fgColor rgb="FFFCA5A5"/>
        <bgColor rgb="FFFF8080"/>
      </patternFill>
    </fill>
    <fill>
      <patternFill patternType="solid">
        <fgColor rgb="FFFDE68A"/>
        <bgColor rgb="FFFEF3C7"/>
      </patternFill>
    </fill>
    <fill>
      <patternFill patternType="solid">
        <fgColor rgb="FFBFDBFE"/>
        <bgColor rgb="FFE5E7E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4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5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6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8" fillId="8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9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6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0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4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  <xf numFmtId="164" fontId="10" fillId="11" borderId="1" xfId="0" applyFont="true" applyBorder="true" applyAlignment="true" applyProtection="false">
      <alignment horizontal="general" vertical="top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6366F1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BFDBFE"/>
          <bgColor rgb="FF000000"/>
        </patternFill>
      </fill>
    </dxf>
    <dxf>
      <fill>
        <patternFill patternType="solid">
          <fgColor rgb="FFFCA5A5"/>
          <bgColor rgb="FF000000"/>
        </patternFill>
      </fill>
    </dxf>
    <dxf>
      <fill>
        <patternFill patternType="solid">
          <fgColor rgb="FFFDE68A"/>
          <bgColor rgb="FF000000"/>
        </patternFill>
      </fill>
    </dxf>
    <dxf>
      <fill>
        <patternFill patternType="solid">
          <fgColor rgb="FFD1FAE5"/>
          <bgColor rgb="FF000000"/>
        </patternFill>
      </fill>
    </dxf>
    <dxf>
      <fill>
        <patternFill patternType="solid">
          <fgColor rgb="FFF3F4F6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EF3C7"/>
      <rgbColor rgb="FFF3F4F6"/>
      <rgbColor rgb="FF660066"/>
      <rgbColor rgb="FFFF8080"/>
      <rgbColor rgb="FF0066CC"/>
      <rgbColor rgb="FFBFDBF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5E7EB"/>
      <rgbColor rgb="FFD1FAE5"/>
      <rgbColor rgb="FFFDE68A"/>
      <rgbColor rgb="FF99CCFF"/>
      <rgbColor rgb="FFFCA5A5"/>
      <rgbColor rgb="FFCC99FF"/>
      <rgbColor rgb="FFFEE2E2"/>
      <rgbColor rgb="FF6366F1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3300"/>
      <rgbColor rgb="FF993366"/>
      <rgbColor rgb="FF374151"/>
      <rgbColor rgb="FF1F2937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8"/>
    <col collapsed="false" customWidth="true" hidden="false" outlineLevel="0" max="3" min="3" style="0" width="42"/>
    <col collapsed="false" customWidth="true" hidden="false" outlineLevel="0" max="4" min="4" style="0" width="10"/>
    <col collapsed="false" customWidth="true" hidden="false" outlineLevel="0" max="5" min="5" style="0" width="13"/>
    <col collapsed="false" customWidth="true" hidden="false" outlineLevel="0" max="6" min="6" style="0" width="42"/>
    <col collapsed="false" customWidth="true" hidden="false" outlineLevel="0" max="7" min="7" style="0" width="46"/>
    <col collapsed="false" customWidth="true" hidden="false" outlineLevel="0" max="8" min="8" style="0" width="13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8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3" customFormat="false" ht="15.75" hidden="false" customHeight="true" outlineLevel="0" collapsed="false">
      <c r="A3" s="3" t="s">
        <v>2</v>
      </c>
      <c r="B3" s="4" t="s">
        <v>3</v>
      </c>
      <c r="C3" s="5" t="s">
        <v>4</v>
      </c>
      <c r="D3" s="6" t="s">
        <v>5</v>
      </c>
      <c r="E3" s="7" t="s">
        <v>6</v>
      </c>
    </row>
    <row r="4" customFormat="false" ht="21.75" hidden="false" customHeight="true" outlineLevel="0" collapsed="false">
      <c r="A4" s="8" t="n">
        <f aca="false">COUNTA(E7:E100)</f>
        <v>16</v>
      </c>
      <c r="B4" s="8" t="n">
        <f aca="false">COUNTIF(E7:E100,"Done")</f>
        <v>1</v>
      </c>
      <c r="C4" s="8" t="n">
        <f aca="false">COUNTIF(E7:E100,"In Progress")</f>
        <v>0</v>
      </c>
      <c r="D4" s="8" t="n">
        <f aca="false">COUNTIF(E7:E100,"Not Started")</f>
        <v>15</v>
      </c>
      <c r="E4" s="8" t="n">
        <f aca="false">COUNTIF(E7:E100,"Blocked")</f>
        <v>0</v>
      </c>
    </row>
    <row r="6" customFormat="false" ht="21.75" hidden="false" customHeight="true" outlineLevel="0" collapsed="false">
      <c r="A6" s="9" t="s">
        <v>7</v>
      </c>
      <c r="B6" s="9" t="s">
        <v>8</v>
      </c>
      <c r="C6" s="9" t="s">
        <v>9</v>
      </c>
      <c r="D6" s="9" t="s">
        <v>10</v>
      </c>
      <c r="E6" s="9" t="s">
        <v>11</v>
      </c>
      <c r="F6" s="9" t="s">
        <v>12</v>
      </c>
      <c r="G6" s="9" t="s">
        <v>13</v>
      </c>
      <c r="H6" s="9" t="s">
        <v>14</v>
      </c>
    </row>
    <row r="7" customFormat="false" ht="35.05" hidden="false" customHeight="false" outlineLevel="0" collapsed="false">
      <c r="A7" s="10" t="n">
        <v>1</v>
      </c>
      <c r="B7" s="10" t="s">
        <v>15</v>
      </c>
      <c r="C7" s="11" t="s">
        <v>16</v>
      </c>
      <c r="D7" s="12" t="s">
        <v>17</v>
      </c>
      <c r="E7" s="13" t="s">
        <v>5</v>
      </c>
      <c r="F7" s="11" t="s">
        <v>18</v>
      </c>
      <c r="G7" s="11" t="s">
        <v>19</v>
      </c>
      <c r="H7" s="10" t="s">
        <v>20</v>
      </c>
    </row>
    <row r="8" customFormat="false" ht="46.25" hidden="false" customHeight="false" outlineLevel="0" collapsed="false">
      <c r="A8" s="10" t="n">
        <v>2</v>
      </c>
      <c r="B8" s="10" t="s">
        <v>21</v>
      </c>
      <c r="C8" s="11" t="s">
        <v>22</v>
      </c>
      <c r="D8" s="12" t="s">
        <v>17</v>
      </c>
      <c r="E8" s="13" t="s">
        <v>5</v>
      </c>
      <c r="F8" s="11" t="s">
        <v>23</v>
      </c>
      <c r="G8" s="11" t="s">
        <v>24</v>
      </c>
      <c r="H8" s="10" t="s">
        <v>20</v>
      </c>
    </row>
    <row r="9" customFormat="false" ht="23.85" hidden="false" customHeight="false" outlineLevel="0" collapsed="false">
      <c r="A9" s="10" t="n">
        <v>3</v>
      </c>
      <c r="B9" s="10" t="s">
        <v>21</v>
      </c>
      <c r="C9" s="11" t="s">
        <v>25</v>
      </c>
      <c r="D9" s="12" t="s">
        <v>17</v>
      </c>
      <c r="E9" s="13" t="s">
        <v>5</v>
      </c>
      <c r="F9" s="11" t="s">
        <v>26</v>
      </c>
      <c r="G9" s="11" t="s">
        <v>27</v>
      </c>
      <c r="H9" s="10" t="s">
        <v>20</v>
      </c>
    </row>
    <row r="10" customFormat="false" ht="35.05" hidden="false" customHeight="false" outlineLevel="0" collapsed="false">
      <c r="A10" s="10" t="n">
        <v>4</v>
      </c>
      <c r="B10" s="10" t="s">
        <v>21</v>
      </c>
      <c r="C10" s="11" t="s">
        <v>28</v>
      </c>
      <c r="D10" s="12" t="s">
        <v>17</v>
      </c>
      <c r="E10" s="13" t="s">
        <v>5</v>
      </c>
      <c r="F10" s="11" t="s">
        <v>29</v>
      </c>
      <c r="G10" s="11" t="s">
        <v>30</v>
      </c>
      <c r="H10" s="10" t="s">
        <v>20</v>
      </c>
    </row>
    <row r="11" customFormat="false" ht="46.25" hidden="false" customHeight="false" outlineLevel="0" collapsed="false">
      <c r="A11" s="10" t="n">
        <v>5</v>
      </c>
      <c r="B11" s="10" t="s">
        <v>21</v>
      </c>
      <c r="C11" s="11" t="s">
        <v>31</v>
      </c>
      <c r="D11" s="12" t="s">
        <v>17</v>
      </c>
      <c r="E11" s="13" t="s">
        <v>5</v>
      </c>
      <c r="F11" s="11" t="s">
        <v>32</v>
      </c>
      <c r="G11" s="11" t="s">
        <v>33</v>
      </c>
      <c r="H11" s="10" t="s">
        <v>20</v>
      </c>
    </row>
    <row r="12" customFormat="false" ht="46.25" hidden="false" customHeight="false" outlineLevel="0" collapsed="false">
      <c r="A12" s="10" t="n">
        <v>6</v>
      </c>
      <c r="B12" s="10" t="s">
        <v>21</v>
      </c>
      <c r="C12" s="11" t="s">
        <v>34</v>
      </c>
      <c r="D12" s="12" t="s">
        <v>17</v>
      </c>
      <c r="E12" s="13" t="s">
        <v>5</v>
      </c>
      <c r="F12" s="11" t="s">
        <v>35</v>
      </c>
      <c r="G12" s="11" t="s">
        <v>36</v>
      </c>
      <c r="H12" s="10" t="s">
        <v>20</v>
      </c>
    </row>
    <row r="13" customFormat="false" ht="23.85" hidden="false" customHeight="false" outlineLevel="0" collapsed="false">
      <c r="A13" s="10" t="n">
        <v>7</v>
      </c>
      <c r="B13" s="10" t="s">
        <v>21</v>
      </c>
      <c r="C13" s="11" t="s">
        <v>37</v>
      </c>
      <c r="D13" s="14" t="s">
        <v>38</v>
      </c>
      <c r="E13" s="13" t="s">
        <v>5</v>
      </c>
      <c r="F13" s="11" t="s">
        <v>39</v>
      </c>
      <c r="G13" s="11" t="s">
        <v>40</v>
      </c>
      <c r="H13" s="10" t="s">
        <v>20</v>
      </c>
    </row>
    <row r="14" customFormat="false" ht="23.85" hidden="false" customHeight="false" outlineLevel="0" collapsed="false">
      <c r="A14" s="10" t="n">
        <v>8</v>
      </c>
      <c r="B14" s="10" t="s">
        <v>41</v>
      </c>
      <c r="C14" s="11" t="s">
        <v>42</v>
      </c>
      <c r="D14" s="12" t="s">
        <v>17</v>
      </c>
      <c r="E14" s="15" t="s">
        <v>3</v>
      </c>
      <c r="F14" s="11" t="s">
        <v>43</v>
      </c>
      <c r="G14" s="11" t="s">
        <v>44</v>
      </c>
      <c r="H14" s="10" t="s">
        <v>20</v>
      </c>
    </row>
    <row r="15" customFormat="false" ht="23.85" hidden="false" customHeight="false" outlineLevel="0" collapsed="false">
      <c r="A15" s="10" t="n">
        <v>9</v>
      </c>
      <c r="B15" s="10" t="s">
        <v>41</v>
      </c>
      <c r="C15" s="11" t="s">
        <v>45</v>
      </c>
      <c r="D15" s="12" t="s">
        <v>17</v>
      </c>
      <c r="E15" s="13" t="s">
        <v>5</v>
      </c>
      <c r="F15" s="11" t="s">
        <v>46</v>
      </c>
      <c r="G15" s="11" t="s">
        <v>47</v>
      </c>
      <c r="H15" s="10" t="s">
        <v>20</v>
      </c>
    </row>
    <row r="16" customFormat="false" ht="35.05" hidden="false" customHeight="false" outlineLevel="0" collapsed="false">
      <c r="A16" s="10" t="n">
        <v>10</v>
      </c>
      <c r="B16" s="10" t="s">
        <v>41</v>
      </c>
      <c r="C16" s="11" t="s">
        <v>48</v>
      </c>
      <c r="D16" s="12" t="s">
        <v>17</v>
      </c>
      <c r="E16" s="13" t="s">
        <v>5</v>
      </c>
      <c r="F16" s="11" t="s">
        <v>49</v>
      </c>
      <c r="G16" s="11" t="s">
        <v>50</v>
      </c>
      <c r="H16" s="10" t="s">
        <v>20</v>
      </c>
    </row>
    <row r="17" customFormat="false" ht="35.05" hidden="false" customHeight="false" outlineLevel="0" collapsed="false">
      <c r="A17" s="10" t="n">
        <v>11</v>
      </c>
      <c r="B17" s="10" t="s">
        <v>41</v>
      </c>
      <c r="C17" s="11" t="s">
        <v>51</v>
      </c>
      <c r="D17" s="12" t="s">
        <v>17</v>
      </c>
      <c r="E17" s="13" t="s">
        <v>5</v>
      </c>
      <c r="F17" s="11" t="s">
        <v>52</v>
      </c>
      <c r="G17" s="11" t="s">
        <v>53</v>
      </c>
      <c r="H17" s="10" t="s">
        <v>20</v>
      </c>
    </row>
    <row r="18" customFormat="false" ht="35.05" hidden="false" customHeight="false" outlineLevel="0" collapsed="false">
      <c r="A18" s="10" t="n">
        <v>12</v>
      </c>
      <c r="B18" s="10" t="s">
        <v>41</v>
      </c>
      <c r="C18" s="11" t="s">
        <v>54</v>
      </c>
      <c r="D18" s="12" t="s">
        <v>17</v>
      </c>
      <c r="E18" s="13" t="s">
        <v>5</v>
      </c>
      <c r="F18" s="11" t="s">
        <v>55</v>
      </c>
      <c r="G18" s="11" t="s">
        <v>56</v>
      </c>
      <c r="H18" s="10" t="s">
        <v>20</v>
      </c>
    </row>
    <row r="19" customFormat="false" ht="35.05" hidden="false" customHeight="false" outlineLevel="0" collapsed="false">
      <c r="A19" s="10" t="n">
        <v>13</v>
      </c>
      <c r="B19" s="10" t="s">
        <v>41</v>
      </c>
      <c r="C19" s="11" t="s">
        <v>57</v>
      </c>
      <c r="D19" s="12" t="s">
        <v>17</v>
      </c>
      <c r="E19" s="13" t="s">
        <v>5</v>
      </c>
      <c r="F19" s="11" t="s">
        <v>58</v>
      </c>
      <c r="G19" s="11" t="s">
        <v>59</v>
      </c>
      <c r="H19" s="10" t="s">
        <v>20</v>
      </c>
    </row>
    <row r="20" customFormat="false" ht="23.85" hidden="false" customHeight="false" outlineLevel="0" collapsed="false">
      <c r="A20" s="10" t="n">
        <v>14</v>
      </c>
      <c r="B20" s="10" t="s">
        <v>41</v>
      </c>
      <c r="C20" s="11" t="s">
        <v>60</v>
      </c>
      <c r="D20" s="14" t="s">
        <v>38</v>
      </c>
      <c r="E20" s="13" t="s">
        <v>5</v>
      </c>
      <c r="F20" s="11" t="s">
        <v>61</v>
      </c>
      <c r="G20" s="11" t="s">
        <v>62</v>
      </c>
      <c r="H20" s="10" t="s">
        <v>20</v>
      </c>
    </row>
    <row r="21" customFormat="false" ht="23.85" hidden="false" customHeight="false" outlineLevel="0" collapsed="false">
      <c r="A21" s="10" t="n">
        <v>15</v>
      </c>
      <c r="B21" s="10" t="s">
        <v>63</v>
      </c>
      <c r="C21" s="11" t="s">
        <v>64</v>
      </c>
      <c r="D21" s="16" t="s">
        <v>65</v>
      </c>
      <c r="E21" s="13" t="s">
        <v>5</v>
      </c>
      <c r="F21" s="11" t="s">
        <v>66</v>
      </c>
      <c r="G21" s="11" t="s">
        <v>67</v>
      </c>
      <c r="H21" s="10" t="s">
        <v>20</v>
      </c>
    </row>
    <row r="22" customFormat="false" ht="23.85" hidden="false" customHeight="false" outlineLevel="0" collapsed="false">
      <c r="A22" s="10" t="n">
        <v>16</v>
      </c>
      <c r="B22" s="10" t="s">
        <v>63</v>
      </c>
      <c r="C22" s="11" t="s">
        <v>68</v>
      </c>
      <c r="D22" s="16" t="s">
        <v>65</v>
      </c>
      <c r="E22" s="13" t="s">
        <v>5</v>
      </c>
      <c r="F22" s="11" t="s">
        <v>69</v>
      </c>
      <c r="G22" s="11" t="s">
        <v>70</v>
      </c>
      <c r="H22" s="10" t="s">
        <v>20</v>
      </c>
    </row>
  </sheetData>
  <autoFilter ref="A6:H22"/>
  <mergeCells count="2">
    <mergeCell ref="A1:H1"/>
    <mergeCell ref="A2:H2"/>
  </mergeCells>
  <dataValidations count="2">
    <dataValidation allowBlank="false" errorStyle="stop" operator="between" showDropDown="false" showErrorMessage="false" showInputMessage="false" sqref="E7:E100" type="list">
      <formula1>"Not Started,In Progress,Blocked,Done"</formula1>
      <formula2>0</formula2>
    </dataValidation>
    <dataValidation allowBlank="false" errorStyle="stop" operator="between" showDropDown="false" showErrorMessage="false" showInputMessage="false" sqref="D7:D100" type="list">
      <formula1>"High,Medium,Low"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LibreOffice/26.2.4.2$Linux_X86_64 LibreOffice_project/620$Build-2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2026-06-24T18:58:42Z</dcterms:created>
  <dc:creator>openpyxl</dc:creator>
  <dc:description/>
  <dc:language>en-US</dc:language>
  <cp:lastModifiedBy/>
  <dcterms:modified xsi:type="dcterms:W3CDTF">2026-06-24T18:58:42Z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